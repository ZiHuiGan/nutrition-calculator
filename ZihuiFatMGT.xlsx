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mbby/Desktop/"/>
    </mc:Choice>
  </mc:AlternateContent>
  <xr:revisionPtr revIDLastSave="0" documentId="13_ncr:1_{FA874759-202B-AD4C-96B1-F4B280067D5D}" xr6:coauthVersionLast="47" xr6:coauthVersionMax="47" xr10:uidLastSave="{00000000-0000-0000-0000-000000000000}"/>
  <bookViews>
    <workbookView xWindow="0" yWindow="0" windowWidth="28800" windowHeight="18000" activeTab="1" xr2:uid="{6644994B-8A32-5349-B040-C347D2A9A932}"/>
  </bookViews>
  <sheets>
    <sheet name="2减脂-早饭后练（晚起版）" sheetId="2" r:id="rId1"/>
    <sheet name="食物重量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3" l="1"/>
  <c r="G11" i="3"/>
  <c r="G7" i="3"/>
  <c r="F39" i="2"/>
  <c r="F37" i="2"/>
  <c r="G39" i="3"/>
  <c r="G3" i="3"/>
  <c r="G30" i="3"/>
  <c r="G31" i="3"/>
  <c r="G32" i="3"/>
  <c r="G33" i="3"/>
  <c r="G34" i="3"/>
  <c r="G35" i="3"/>
  <c r="G36" i="3"/>
  <c r="G37" i="3"/>
  <c r="G38" i="3"/>
  <c r="G40" i="3"/>
  <c r="G41" i="3"/>
  <c r="G42" i="3"/>
  <c r="G43" i="3"/>
  <c r="G44" i="3"/>
  <c r="G45" i="3"/>
  <c r="G46" i="3"/>
  <c r="G47" i="3"/>
  <c r="G48" i="3"/>
  <c r="G49" i="3"/>
  <c r="G50" i="3"/>
  <c r="G29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29" i="3"/>
  <c r="K4" i="3"/>
  <c r="L4" i="3"/>
  <c r="M4" i="3"/>
  <c r="K5" i="3"/>
  <c r="L5" i="3"/>
  <c r="M5" i="3"/>
  <c r="K6" i="3"/>
  <c r="L6" i="3"/>
  <c r="M6" i="3"/>
  <c r="K7" i="3"/>
  <c r="L7" i="3"/>
  <c r="M7" i="3"/>
  <c r="K8" i="3"/>
  <c r="L8" i="3"/>
  <c r="M8" i="3"/>
  <c r="K9" i="3"/>
  <c r="L9" i="3"/>
  <c r="M9" i="3"/>
  <c r="K10" i="3"/>
  <c r="L10" i="3"/>
  <c r="M10" i="3"/>
  <c r="K11" i="3"/>
  <c r="L11" i="3"/>
  <c r="M11" i="3"/>
  <c r="K12" i="3"/>
  <c r="L12" i="3"/>
  <c r="M12" i="3"/>
  <c r="M3" i="3"/>
  <c r="L3" i="3"/>
  <c r="K3" i="3"/>
  <c r="F4" i="3"/>
  <c r="E4" i="3"/>
  <c r="G4" i="3"/>
  <c r="E5" i="3"/>
  <c r="F5" i="3"/>
  <c r="G5" i="3"/>
  <c r="E6" i="3"/>
  <c r="F6" i="3"/>
  <c r="G6" i="3"/>
  <c r="E7" i="3"/>
  <c r="F7" i="3"/>
  <c r="E8" i="3"/>
  <c r="F8" i="3"/>
  <c r="G8" i="3"/>
  <c r="E9" i="3"/>
  <c r="F9" i="3"/>
  <c r="G9" i="3"/>
  <c r="E10" i="3"/>
  <c r="F10" i="3"/>
  <c r="G10" i="3"/>
  <c r="E11" i="3"/>
  <c r="F11" i="3"/>
  <c r="E12" i="3"/>
  <c r="F12" i="3"/>
  <c r="G12" i="3"/>
  <c r="E13" i="3"/>
  <c r="F13" i="3"/>
  <c r="G13" i="3"/>
  <c r="E14" i="3"/>
  <c r="F14" i="3"/>
  <c r="G14" i="3"/>
  <c r="E15" i="3"/>
  <c r="F15" i="3"/>
  <c r="G15" i="3"/>
  <c r="E16" i="3"/>
  <c r="F16" i="3"/>
  <c r="G16" i="3"/>
  <c r="E17" i="3"/>
  <c r="F17" i="3"/>
  <c r="E18" i="3"/>
  <c r="F18" i="3"/>
  <c r="G18" i="3"/>
  <c r="E19" i="3"/>
  <c r="F19" i="3"/>
  <c r="G19" i="3"/>
  <c r="E20" i="3"/>
  <c r="F20" i="3"/>
  <c r="G20" i="3"/>
  <c r="E21" i="3"/>
  <c r="F21" i="3"/>
  <c r="G21" i="3"/>
  <c r="E22" i="3"/>
  <c r="F22" i="3"/>
  <c r="G22" i="3"/>
  <c r="E23" i="3"/>
  <c r="F23" i="3"/>
  <c r="G23" i="3"/>
  <c r="E24" i="3"/>
  <c r="F24" i="3"/>
  <c r="G24" i="3"/>
  <c r="F3" i="3"/>
  <c r="E3" i="3"/>
  <c r="F33" i="2" l="1"/>
  <c r="F64" i="2"/>
  <c r="F62" i="2"/>
  <c r="F72" i="2"/>
  <c r="F78" i="2"/>
  <c r="F77" i="2"/>
  <c r="F71" i="2"/>
  <c r="F67" i="2"/>
  <c r="F47" i="2" l="1"/>
  <c r="F40" i="2"/>
  <c r="F36" i="2"/>
  <c r="F32" i="2"/>
  <c r="F48" i="2"/>
  <c r="F41" i="2"/>
  <c r="F31" i="2"/>
  <c r="J70" i="2"/>
  <c r="F35" i="2"/>
  <c r="C8" i="2"/>
  <c r="J82" i="2"/>
  <c r="J76" i="2"/>
  <c r="F76" i="2"/>
  <c r="L23" i="2"/>
  <c r="H23" i="2"/>
  <c r="E75" i="2" s="1"/>
  <c r="F79" i="2" s="1"/>
  <c r="L22" i="2"/>
  <c r="I30" i="2" s="1"/>
  <c r="I61" i="2" s="1"/>
  <c r="H22" i="2"/>
  <c r="E45" i="2" s="1"/>
  <c r="F50" i="2" s="1"/>
  <c r="E13" i="2"/>
  <c r="E14" i="2" s="1"/>
  <c r="E81" i="2" l="1"/>
  <c r="F80" i="2"/>
  <c r="I45" i="2"/>
  <c r="J46" i="2" s="1"/>
  <c r="E61" i="2"/>
  <c r="E69" i="2"/>
  <c r="E18" i="2"/>
  <c r="E20" i="2" s="1"/>
  <c r="E17" i="2"/>
  <c r="E19" i="2" s="1"/>
  <c r="F49" i="2"/>
  <c r="F46" i="2"/>
  <c r="I75" i="2"/>
  <c r="E38" i="2"/>
  <c r="I38" i="2"/>
  <c r="J39" i="2" s="1"/>
  <c r="E51" i="2"/>
  <c r="I51" i="2"/>
  <c r="E30" i="2"/>
  <c r="F70" i="2" l="1"/>
  <c r="F73" i="2"/>
  <c r="F74" i="2"/>
  <c r="F68" i="2"/>
  <c r="F65" i="2"/>
  <c r="F63" i="2"/>
  <c r="F66" i="2"/>
  <c r="E86" i="2"/>
  <c r="I69" i="2"/>
  <c r="F43" i="2"/>
  <c r="I56" i="2"/>
  <c r="I81" i="2"/>
  <c r="I86" i="2" s="1"/>
  <c r="F34" i="2"/>
  <c r="E5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tc={A3AF2084-BD4C-4F47-ACB0-94BE56894077}</author>
    <author>tc={4590AD9F-9A88-FB41-9A36-7F058270E301}</author>
  </authors>
  <commentList>
    <comment ref="F34" authorId="0" shapeId="0" xr:uid="{A3AF2084-BD4C-4F47-ACB0-94BE56894077}">
      <text>
        <t>[Threaded comment]
Your version of Excel allows you to read this threaded comment; however, any edits to it will get removed if the file is opened in a newer version of Excel. Learn more: https://go.microsoft.com/fwlink/?linkid=870924
Comment:
    相当于一根Costco普通甜玉米</t>
      </text>
    </comment>
    <comment ref="J39" authorId="1" shapeId="0" xr:uid="{4590AD9F-9A88-FB41-9A36-7F058270E301}">
      <text>
        <t>[Threaded comment]
Your version of Excel allows you to read this threaded comment; however, any edits to it will get removed if the file is opened in a newer version of Excel. Learn more: https://go.microsoft.com/fwlink/?linkid=870924
Comment:
    海产是15%， 172g；牛/鸡是20%, 129g</t>
      </text>
    </comment>
  </commentList>
</comments>
</file>

<file path=xl/sharedStrings.xml><?xml version="1.0" encoding="utf-8"?>
<sst xmlns="http://schemas.openxmlformats.org/spreadsheetml/2006/main" count="278" uniqueCount="178">
  <si>
    <t>【用Excel照相机功能截图全表】①在Excel里点击：文件-选项-快速访问工具栏-把“常用命令”改为“所有命令”-下拉找到Z开头的“照相机”-添加-确定  ②按住鼠标左键选中你需要截图的单元格范围（不是全选所有单元格） ③点击Excel顶部你刚添加的照相机 ④在微信传输助手里按Ctrl+V就能得到截图</t>
  </si>
  <si>
    <t>【慎用薄荷健康app的数据】食物的营养率数据参考视频23分10秒，已覆盖生活里基本食物！如果要用薄荷app查其他食物数据，切记不能用的数据：多种原料混合制成的食物（XX菜肴、汉堡、三明治、牛肉面等）、肥瘦相间的肉类（烤肉、肥牛、肥羊、排骨、牛排、肉肠、肉饼、肉馅、肉丸等）</t>
    <phoneticPr fontId="0" type="noConversion"/>
  </si>
  <si>
    <r>
      <t>减脂方案</t>
    </r>
    <r>
      <rPr>
        <sz val="11"/>
        <color rgb="FFFFFFFF"/>
        <rFont val="等线"/>
        <family val="3"/>
        <charset val="134"/>
      </rPr>
      <t>（体重1-2周稳定不掉 请看表17《减脂-问答汇总》的第1问来调整）</t>
    </r>
  </si>
  <si>
    <t>性别</t>
  </si>
  <si>
    <t>女</t>
  </si>
  <si>
    <t>HR</t>
    <phoneticPr fontId="0" type="noConversion"/>
  </si>
  <si>
    <t>身高/m</t>
  </si>
  <si>
    <t>SS</t>
    <phoneticPr fontId="0" type="noConversion"/>
  </si>
  <si>
    <t>体重/kg</t>
  </si>
  <si>
    <t>BMI</t>
  </si>
  <si>
    <t>* BMI=体重kg÷身高m÷身高m   正常18.5-24   超重24-28   肥胖大于28</t>
  </si>
  <si>
    <t>减重速度</t>
  </si>
  <si>
    <t>理论上2周减重2%，注意1-2周的体重比较才有意义，每天脂肪分解量只有30-50g，会被体内的食糜重量和含水量变化轻易覆盖，所以两三天的体重变化基本和脂肪量变化无关，没有参考意义</t>
    <phoneticPr fontId="0" type="noConversion"/>
  </si>
  <si>
    <t>减到何时</t>
  </si>
  <si>
    <t>肌肉量一般，不要追求低体脂，男性BMI22-23转增肌，女性BMI20-21转增肌；肌肉量足够，可以减到更低体重成为低体脂，男性BMI21-22转增肌，女性BMI19-20转增肌</t>
    <phoneticPr fontId="0" type="noConversion"/>
  </si>
  <si>
    <t>调整配额</t>
  </si>
  <si>
    <t>体重下降10kg，基础代谢会下降约150大卡，减重10kg以内不用调整，减重达到10kg还要继续减，要么比本食谱每天少吃150大卡（100g米饭+1个全蛋），要么参考《有氧热量消耗》表每周多做1000大卡有氧（但不要加饮食）</t>
    <phoneticPr fontId="0" type="noConversion"/>
  </si>
  <si>
    <t>力训时间</t>
  </si>
  <si>
    <t>上午起床晚，早饭后练， 因此早饭作为练前餐垫肚子，练后吃午饭作为练后餐；力训日全天餐序：①早饭=练前餐 ②午饭=练后餐 ③晚饭=其他餐</t>
  </si>
  <si>
    <t>热量设计</t>
    <phoneticPr fontId="0" type="noConversion"/>
  </si>
  <si>
    <t>基础数据</t>
  </si>
  <si>
    <t>基础代谢(a)</t>
  </si>
  <si>
    <t xml:space="preserve"> * 多算两次，切勿算错，否则后续会全错！Mifflin-St Jeor方程：男性基础代谢=体重kg×9.99+身高cm×6.25-年龄×4.92+5；女性基础代谢=体重kg×9.99+身高cm×6.25-年龄×4.92-161</t>
    <phoneticPr fontId="0" type="noConversion"/>
  </si>
  <si>
    <t>无运动总消耗(b=a÷0.7)</t>
  </si>
  <si>
    <t xml:space="preserve"> * 在没有力训、有氧的情况下，基础代谢约占人体热量消耗的70%，其余的热量消耗为食物热效应和活动消耗（因为无运动，活动消耗就是日常活动消耗）</t>
  </si>
  <si>
    <t>力训消耗(c)</t>
  </si>
  <si>
    <t xml:space="preserve"> * 力训的热量消耗建议数据：男性，150大卡（新手）、200大卡（有基础）、250大卡（老手）；女性，100大卡（新手）、150大卡（有基础）、200大卡（老手）</t>
    <phoneticPr fontId="0" type="noConversion"/>
  </si>
  <si>
    <t>有氧消耗(d)</t>
  </si>
  <si>
    <t xml:space="preserve"> * 如果你有主动或被动的有氧活动，请参考表16《每小时有氧热量消耗》的数字填写（注意这是平均到每天的数字，请算出你一周有氧消耗，再除以7来填入这行）</t>
  </si>
  <si>
    <t>平衡热量</t>
  </si>
  <si>
    <t>力训日(e1=b+c+d)</t>
  </si>
  <si>
    <t xml:space="preserve"> * 这是理论上的平衡热量，意即理论上这个饮食热量能让体重不变，力训日因为多了力训的热量消耗，所以力训日的平衡热量高一些</t>
  </si>
  <si>
    <t>休息日(e2=b+d)</t>
  </si>
  <si>
    <t>应吃热量</t>
  </si>
  <si>
    <t>力训日(f1=e1×0.64)</t>
  </si>
  <si>
    <t xml:space="preserve"> * 减脂的合适热量缺口为20%，应吃热量本该是平衡热量×0.8，但我们需要留出余地：一是因为研究表明人们在定量饮食里也会不自觉多吃约10-20%热量，二是因为下表有些食物的部分热量没有计入（如主食的蛋白质和脂肪），所以我们把应吃热量设计为理论平衡热量的1×0.8×0.8=0.64，算出的热量看似很低，不要被吓到，实际上你吃的热量是高于此数的，我们只是提前留了余地！</t>
    <phoneticPr fontId="0" type="noConversion"/>
  </si>
  <si>
    <t>休息日(f2=e2×0.64)</t>
  </si>
  <si>
    <t>饮食总览</t>
  </si>
  <si>
    <r>
      <t>碳水</t>
    </r>
    <r>
      <rPr>
        <i/>
        <sz val="10"/>
        <color rgb="FF000000"/>
        <rFont val="等线"/>
        <family val="3"/>
        <charset val="134"/>
      </rPr>
      <t>（输入配额请看视频17-21分钟）</t>
    </r>
  </si>
  <si>
    <r>
      <t>蛋白质</t>
    </r>
    <r>
      <rPr>
        <i/>
        <sz val="10"/>
        <color rgb="FF000000"/>
        <rFont val="等线"/>
        <family val="3"/>
        <charset val="134"/>
      </rPr>
      <t>（输入配额请看视频17-21分钟）</t>
    </r>
  </si>
  <si>
    <t>脂肪</t>
  </si>
  <si>
    <t>蔬菜/水果</t>
  </si>
  <si>
    <t>力训日</t>
  </si>
  <si>
    <r>
      <t>男性60g</t>
    </r>
    <r>
      <rPr>
        <sz val="8"/>
        <color rgb="FF000000"/>
        <rFont val="等线"/>
        <family val="3"/>
        <charset val="134"/>
      </rPr>
      <t>（120kg体重以上加到70g）</t>
    </r>
    <r>
      <rPr>
        <sz val="10"/>
        <color rgb="FF000000"/>
        <rFont val="等线"/>
        <family val="3"/>
        <charset val="134"/>
      </rPr>
      <t xml:space="preserve"> 女性50g
但不要细算脂肪 按下面的文字指导来吃就行</t>
    </r>
  </si>
  <si>
    <t>按下面的文字指导</t>
  </si>
  <si>
    <t>休息日</t>
  </si>
  <si>
    <t>运动总览</t>
  </si>
  <si>
    <t>力训</t>
  </si>
  <si>
    <t>力训和减脂没有直接关系，减脂需要的热量缺口可以用饮食来提供，而不是必须力训来提供；但力训的好处是能减少减脂期的肌肉损失，想保持肌肉需要练3-5次/周</t>
  </si>
  <si>
    <t>有氧</t>
  </si>
  <si>
    <t>是否需要有氧，请看视频11分8秒，一般建议：增肌不做有氧；减脂体重80kg以上不做有氧；减脂体重70-80kg先不做有氧，如果饿再加有氧；减脂体重70kg以下每周2小时有氧</t>
    <phoneticPr fontId="0" type="noConversion"/>
  </si>
  <si>
    <t>力训日饮食</t>
  </si>
  <si>
    <t>* 食物的1234567是任选一种，不是都吃，每种食物互相等价，碳水/蛋白质的量相同，你可以只算自己要吃的食物       * 计算食物重量需要的营养率数据，参考视频23分10秒，初期要用食物称做定量饮食，建立饮食习惯后就不用了</t>
  </si>
  <si>
    <t>餐序</t>
  </si>
  <si>
    <r>
      <t>碳水</t>
    </r>
    <r>
      <rPr>
        <i/>
        <sz val="10"/>
        <rFont val="等线"/>
        <family val="3"/>
        <charset val="134"/>
      </rPr>
      <t>（食物重量计算请看视频23分10秒）</t>
    </r>
  </si>
  <si>
    <r>
      <t>蛋白质</t>
    </r>
    <r>
      <rPr>
        <i/>
        <sz val="10"/>
        <rFont val="等线"/>
        <family val="3"/>
        <charset val="134"/>
      </rPr>
      <t>（食物重量计算请看视频23分10秒）</t>
    </r>
  </si>
  <si>
    <t>①早饭=练前餐</t>
  </si>
  <si>
    <t xml:space="preserve">脂肪这样吃↓                       </t>
  </si>
  <si>
    <t xml:space="preserve"> 蔬菜不限制↓</t>
  </si>
  <si>
    <t>1.</t>
  </si>
  <si>
    <t>鸡蛋+牛奶，数量参考视频25分30秒</t>
    <phoneticPr fontId="0" type="noConversion"/>
  </si>
  <si>
    <t>【推荐模式】早饭吃左侧的蛋黄牛奶+正餐吃大众带油菜=脂肪摄入基本合适 :)</t>
  </si>
  <si>
    <t>【蔬菜不用定量】蔬菜碳水率很低，为免麻烦不用定量，争取每天都能吃一些</t>
  </si>
  <si>
    <t>2.</t>
  </si>
  <si>
    <t>鸡蛋，数量参考视频25分30秒</t>
    <phoneticPr fontId="0" type="noConversion"/>
  </si>
  <si>
    <t>3.</t>
  </si>
  <si>
    <t>* 所谓吃“大众带油菜”，就是像黄焖鸡、酸菜鱼、鱼香肉丝、小炒牛肉等家常瘦肉菜，不要害怕菜里的油，但必须是瘦肉，高脂肉会导致脂肪超标（下面讲了什么是瘦肉，什么是高脂肉）</t>
  </si>
  <si>
    <t>* 吃蔬菜的顺序：一般各餐，先吃、多吃蔬菜，后吃碳水，能压制胰岛素，帮助减脂；但力训的练后餐则相反，建议先吃碳水和蛋白质，少吃、后吃蔬菜，避免胰岛素被压制</t>
  </si>
  <si>
    <t>* 吃了早饭就准备开练，不需要专门等待休息
* 怕太饱的话，可吃低饱腹感碳水（馒头/面包/面条）</t>
  </si>
  <si>
    <t>4.</t>
  </si>
  <si>
    <t>5.</t>
  </si>
  <si>
    <t>* 鸡蛋可以是水煮蛋/茶叶蛋/鸡蛋羹，但不是油煎蛋
* 脂肪摄入一个基本来源是早饭的蛋黄牛奶，如果不吃蛋黄牛奶，请看右边脂肪一列【脂肪缺乏1】</t>
    <phoneticPr fontId="0" type="noConversion"/>
  </si>
  <si>
    <t>6.</t>
  </si>
  <si>
    <t>7.</t>
  </si>
  <si>
    <t>【脂肪缺乏1】早饭不吃蛋黄牛奶，会比推荐模式少吃约10-20g脂肪摄入，请全天补吃20g坚果或3个蛋黄</t>
    <phoneticPr fontId="0" type="noConversion"/>
  </si>
  <si>
    <t>【这些不是蔬菜】红薯（20%）、土豆（18%）、玉米（18%）、山药（13%）、芋头（13%）是碳水主食，括号数字是其碳水率</t>
  </si>
  <si>
    <t>②午饭=练后餐</t>
  </si>
  <si>
    <t>【脂肪缺乏2】午饭晚饭吃低油无油菜（卤肉、炖肉、清炒、清炖、轻食、水煮），会比推荐模式少吃约20g脂肪摄入，请全天补吃30g坚果或4个蛋黄</t>
    <phoneticPr fontId="0" type="noConversion"/>
  </si>
  <si>
    <t>* 最好能练完后半小时内开始吃上
* 本餐如要吃蔬菜，少吃后吃以免压制胰岛素
* 有时没正餐可吃，可用便携快碳+蛋白粉解决</t>
  </si>
  <si>
    <t>* 脂肪摄入另一基本来源是吃炒菜时摄入的油，如果正餐吃低油无油菜（卤肉、炖肉、清炒、清炖、轻食、水煮），请看右边脂肪一列【脂肪缺乏2】</t>
  </si>
  <si>
    <t xml:space="preserve"> </t>
  </si>
  <si>
    <t>——————————————————</t>
  </si>
  <si>
    <t xml:space="preserve"> 脂肪基本不吃↓</t>
  </si>
  <si>
    <t xml:space="preserve">  水果必须置换主食↓</t>
  </si>
  <si>
    <t>【高脂肉】鸡鸭皮、大排、糖醋里脊、锅包肉、鸡翅、猪蹄、牛腩、牛排、排骨、烤肉、炸肉、午餐肉、肥牛、肥羊、肉肠、肉饼、肉馅、肉丸</t>
    <phoneticPr fontId="0" type="noConversion"/>
  </si>
  <si>
    <t>【水果要算碳水】水果实质是糖水，糖量可观，糖是碳水的一种形式，所以要计入碳水量来置换碳水那列的主食</t>
  </si>
  <si>
    <t>③晚饭=其他餐</t>
  </si>
  <si>
    <t>* 瘦肉只有：①没有白色脂肪层的猪牛羊肉  ②去皮的鸡鸭肉 ③鱼虾贝 ④肝肾肚血
* 这些不是瘦肉：鸡鸭的皮、猪大排、糖醋里脊、锅包肉、炸鸡、烤肉、午餐肉、肥牛、肥羊、排骨、牛排、肉肠、肉饼、肉馅、肉丸</t>
  </si>
  <si>
    <t>* 瘦肉只有：①没有白色脂肪层的猪牛羊肉  ②去皮的鸡鸭肉 ③鱼虾贝 ④肝肾肚血心</t>
    <phoneticPr fontId="0" type="noConversion"/>
  </si>
  <si>
    <t>*苹果/橙子/香蕉：20-30g碳水/个；梨子/蓝莓/猕猴桃：碳水率14%；柚子/桃子/葡萄/菠萝：碳水率10%；西瓜/蜜瓜/草莓：碳水率7%</t>
  </si>
  <si>
    <t>【糖油混合物】饼干、蛋糕、点心、糕点、甜品、油条、煎饼、花式面包、膨化食品等</t>
  </si>
  <si>
    <t>【置换主食的办法】吃水果的10g碳水=主食少吃30g熟米饭</t>
  </si>
  <si>
    <t>⑤零食/夜宵</t>
  </si>
  <si>
    <t>* 糖油混合物的脂肪率20-40%，吃200克就能耗完全天脂肪配额，只能偶尔吃点解馋</t>
  </si>
  <si>
    <t>* 这10%的少量碳水是用来抵扣本列未计入的牛奶、蔬菜、调料里的碳水，不是用来专门吃碳水食物的</t>
  </si>
  <si>
    <t>* 零食/夜宵的设计热量就并不多，如果不吃的话，就在其他各餐多吃几口瘦肉或主食即可</t>
    <phoneticPr fontId="0" type="noConversion"/>
  </si>
  <si>
    <t>其他：内蒙牛肉干、低糖鸡肉干、乳制品、</t>
    <phoneticPr fontId="0" type="noConversion"/>
  </si>
  <si>
    <t>【个别吸油菜】炒鸡蛋、炒茄子</t>
  </si>
  <si>
    <t>不吃碳水食物（面包、米面、奶茶、水果等）</t>
    <phoneticPr fontId="0" type="noConversion"/>
  </si>
  <si>
    <t>鸡蛋、蔬菜、无糖饮料等。可参考本套表17</t>
    <phoneticPr fontId="0" type="noConversion"/>
  </si>
  <si>
    <t>* 食堂外卖的宽油炒鸡蛋，每个鸡蛋的蛋白质只有6g，脂肪或高达20g以上，非常占据脂肪配额</t>
  </si>
  <si>
    <t>不吃糖油混合物（饼干、膨化、甜品糕点等）</t>
    <phoneticPr fontId="0" type="noConversion"/>
  </si>
  <si>
    <t>《减脂问答汇总》第23问举例的低热量零食</t>
  </si>
  <si>
    <t>力训日合计</t>
  </si>
  <si>
    <t>要点：脂肪配额有限 用来吃炒菜和蛋奶</t>
  </si>
  <si>
    <t>要点：蔬菜任意吃 水果要算碳水</t>
  </si>
  <si>
    <r>
      <t>休息日饮食</t>
    </r>
    <r>
      <rPr>
        <b/>
        <sz val="10"/>
        <color rgb="FFFFFFFF"/>
        <rFont val="等线"/>
        <family val="3"/>
        <charset val="134"/>
      </rPr>
      <t>（不力训就叫休息日 与是否有氧无关）</t>
    </r>
  </si>
  <si>
    <t>碳水</t>
  </si>
  <si>
    <t>蛋白质</t>
  </si>
  <si>
    <t>①早饭（和绿表早饭完全相同）</t>
  </si>
  <si>
    <t>同上表</t>
  </si>
  <si>
    <t>* 脂肪摄入一个基本来源是早饭的蛋黄牛奶，如果你不吃蛋黄牛奶，请看右边脂肪一列的【脂肪缺乏1】</t>
  </si>
  <si>
    <t>②午饭</t>
  </si>
  <si>
    <t>* 脂肪摄入另一基本来源是带油菜的用油，如果你的正餐吃低油无油菜（卤肉、炖肉、清炒、清炖、轻食、水煮），请看右边脂肪一列的【脂肪缺乏2】</t>
  </si>
  <si>
    <t>③晚饭</t>
  </si>
  <si>
    <t>* 瘦肉脂肪率一般不超过5%，基本只有：①没有白色黄色脂肪层的猪牛羊肉  ②去皮鸡鸭肉 ③鱼虾
* 这些都不是瘦肉：鸡皮鸭皮、猪大排、糖醋里脊、锅包肉、烤肉、午餐肉、肥牛、肥羊、排骨、牛排、肉肠、肉饼、肉馅、肉丸</t>
  </si>
  <si>
    <t>④零食/夜宵</t>
    <phoneticPr fontId="0" type="noConversion"/>
  </si>
  <si>
    <t>休息日合计</t>
  </si>
  <si>
    <t>力训方案</t>
  </si>
  <si>
    <t>频率</t>
  </si>
  <si>
    <t>分化</t>
  </si>
  <si>
    <t>完全新手：用二分化或三分化；有基础者：用三分化或四分化</t>
  </si>
  <si>
    <t>场所</t>
  </si>
  <si>
    <t>新手尽量从健身房起步健身，非必要不要居家力训，居家力训对新手反而更难上手，如果必须居家健身，参照《训练计划-居家健身》的指导</t>
  </si>
  <si>
    <t>训练计划</t>
  </si>
  <si>
    <t>健身房三分化/健身房四分化/居家三分化训练计划，详见《训练计划》系列表格（本文件的表格编号19-22）</t>
    <phoneticPr fontId="0" type="noConversion"/>
  </si>
  <si>
    <t>有氧方案</t>
  </si>
  <si>
    <t>概况</t>
  </si>
  <si>
    <t>形式</t>
  </si>
  <si>
    <t>快走、跑步、骑行、游泳、爬楼、跳操、打球等均可，可以自测15秒脉搏算下心率，建议120-150次/分钟，但无需严格要求，有的有氧运动心率是高低波动不稳定的</t>
  </si>
  <si>
    <t>时间点</t>
  </si>
  <si>
    <t>①力训前，不要做有氧，会影响力训；②力训后，如果要做有氧，一般不要超过30分钟；③超过30分钟的有氧，要和力训隔开几小时，或者在休息日做</t>
  </si>
  <si>
    <t>有氧可以置换饮食（重要）</t>
  </si>
  <si>
    <t>如果试吃后感觉很饿，就可以增加有氧来让自己多吃一点，每增加有氧消耗100大卡，饮食热量就能多吃100大卡，具体请看配套的《每小时有氧热量消耗》那张表</t>
  </si>
  <si>
    <t>S</t>
    <phoneticPr fontId="0" type="noConversion"/>
  </si>
  <si>
    <t>米饭（很软）</t>
    <phoneticPr fontId="1" type="noConversion"/>
  </si>
  <si>
    <t>米线（熟）</t>
    <phoneticPr fontId="1" type="noConversion"/>
  </si>
  <si>
    <t>切片面包</t>
    <phoneticPr fontId="1" type="noConversion"/>
  </si>
  <si>
    <t>馒头/花卷/馍/馕</t>
    <phoneticPr fontId="1" type="noConversion"/>
  </si>
  <si>
    <t>挂面（生）</t>
    <phoneticPr fontId="1" type="noConversion"/>
  </si>
  <si>
    <t>意面（生）</t>
    <phoneticPr fontId="1" type="noConversion"/>
  </si>
  <si>
    <t>鲜面（生）</t>
    <phoneticPr fontId="1" type="noConversion"/>
  </si>
  <si>
    <t>意面（熟）</t>
    <phoneticPr fontId="1" type="noConversion"/>
  </si>
  <si>
    <t>细面（熟）</t>
    <phoneticPr fontId="1" type="noConversion"/>
  </si>
  <si>
    <t>卷饼/烙饼/馕（熟）</t>
    <phoneticPr fontId="1" type="noConversion"/>
  </si>
  <si>
    <t>其他主食</t>
    <phoneticPr fontId="1" type="noConversion"/>
  </si>
  <si>
    <t>红薯（生/蒸煮）</t>
    <phoneticPr fontId="1" type="noConversion"/>
  </si>
  <si>
    <t>红薯（烤）</t>
    <phoneticPr fontId="1" type="noConversion"/>
  </si>
  <si>
    <t>土豆（生/蒸煮）</t>
    <phoneticPr fontId="1" type="noConversion"/>
  </si>
  <si>
    <t>土豆（烤）</t>
    <phoneticPr fontId="1" type="noConversion"/>
  </si>
  <si>
    <t>红薯/土豆粉丝（生）</t>
    <phoneticPr fontId="1" type="noConversion"/>
  </si>
  <si>
    <t>甜玉米（生/蒸煮）</t>
    <phoneticPr fontId="1" type="noConversion"/>
  </si>
  <si>
    <t>糯玉米（生/蒸煮）</t>
    <phoneticPr fontId="1" type="noConversion"/>
  </si>
  <si>
    <t>贝贝南瓜</t>
    <phoneticPr fontId="1" type="noConversion"/>
  </si>
  <si>
    <t>传统南瓜</t>
    <phoneticPr fontId="1" type="noConversion"/>
  </si>
  <si>
    <t>山药（生/蒸煮）</t>
    <phoneticPr fontId="1" type="noConversion"/>
  </si>
  <si>
    <t>燕麦麸皮（生）</t>
    <phoneticPr fontId="1" type="noConversion"/>
  </si>
  <si>
    <t>速食燕麦片（生）</t>
    <phoneticPr fontId="1" type="noConversion"/>
  </si>
  <si>
    <t>麦类主食</t>
    <phoneticPr fontId="1" type="noConversion"/>
  </si>
  <si>
    <t>日常-早/g</t>
  </si>
  <si>
    <t>日常-中/g</t>
  </si>
  <si>
    <t>日常-晚/g</t>
  </si>
  <si>
    <t>瘦肉（鱼虾生肉）</t>
    <phoneticPr fontId="1" type="noConversion"/>
  </si>
  <si>
    <t>瘦肉（三文鱼/金枪鱼）</t>
    <phoneticPr fontId="1" type="noConversion"/>
  </si>
  <si>
    <t>瘦肉（家禽家畜生肉）</t>
    <phoneticPr fontId="1" type="noConversion"/>
  </si>
  <si>
    <t>瘦肉（一般的熟肉）</t>
    <phoneticPr fontId="1" type="noConversion"/>
  </si>
  <si>
    <t>瘦肉（柴感的熟肉）</t>
    <phoneticPr fontId="1" type="noConversion"/>
  </si>
  <si>
    <t>瘦肉干</t>
    <phoneticPr fontId="1" type="noConversion"/>
  </si>
  <si>
    <t>蛋白粉</t>
    <phoneticPr fontId="1" type="noConversion"/>
  </si>
  <si>
    <t>豆皮/千张</t>
    <phoneticPr fontId="1" type="noConversion"/>
  </si>
  <si>
    <t>豆腐</t>
    <phoneticPr fontId="1" type="noConversion"/>
  </si>
  <si>
    <t>豆浆</t>
    <phoneticPr fontId="1" type="noConversion"/>
  </si>
  <si>
    <t>力训-早/g</t>
  </si>
  <si>
    <t>力训-中/g</t>
  </si>
  <si>
    <t>力训-晚/g</t>
  </si>
  <si>
    <t>日常&amp;力训-早/g</t>
  </si>
  <si>
    <t>日常&amp;力训-中/g</t>
  </si>
  <si>
    <t>日常&amp;力训-晚/g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</si>
</sst>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3">
    <numFmt numFmtId="164" formatCode="[=1]&quot;男&quot;;[=2]&quot;女&quot;"/>
    <numFmt numFmtId="165" formatCode="#.0&quot;kg&quot;"/>
    <numFmt numFmtId="166" formatCode="#.0&quot;（医学指标：正常18.5-24   超重24-28   肥胖大于28）&quot;"/>
    <numFmt numFmtId="167" formatCode="#.0"/>
    <numFmt numFmtId="168" formatCode="#.0&quot;     * 医学指标：正常18.5-24   超重24-28   肥胖大于28&quot;"/>
    <numFmt numFmtId="169" formatCode="&quot;减脂，预期2周体重掉&quot;#&quot;斤，实际不会这么精准，不能掉体重请看我另发的《问答汇总》pdf第1条自己调整；少数大体重者，减10kg以上还要继续的话，请联系我教你调整配额，小体重者忽略&quot;"/>
    <numFmt numFmtId="170" formatCode="0_);[Red]\(0\)"/>
    <numFmt numFmtId="171" formatCode="&quot;体重减到&quot;#&quot;kg就进入正常体重范围了（BMI&lt;24），可考虑继续减一些或者转增肌，但注意没有足够肌肉量是不能追求清晰腹肌/马甲线这样的低体脂率的，否则其他部位会骨瘦如柴&quot;"/>
    <numFmt numFmtId="172" formatCode="[=1]&quot;场所：健身房练&quot;;[=2]&quot;场所：居家练&quot;"/>
    <numFmt numFmtId="173" formatCode="[=1]&quot;场所：健身房&quot;;[=2]&quot;场所：居家&quot;"/>
    <numFmt numFmtId="174" formatCode="#&quot;大卡&quot;"/>
    <numFmt numFmtId="175" formatCode="#.0&quot;g/kg&quot;"/>
    <numFmt numFmtId="176" formatCode="&quot;×   体重&quot;#&quot;kg   =  &quot;"/>
    <numFmt numFmtId="177" formatCode="&quot;总量&quot;#&quot;g&quot;"/>
    <numFmt numFmtId="178" formatCode="&quot;0&quot;#.0&quot;g&quot;"/>
    <numFmt numFmtId="179" formatCode="&quot;碳水&quot;#&quot;g（全天20%）&quot;"/>
    <numFmt numFmtId="180" formatCode="&quot;蛋白质&quot;#&quot;g（全天20%）&quot;"/>
    <numFmt numFmtId="181" formatCode="&quot;吐司面包/馒头花卷&quot;#&quot;g&quot;"/>
    <numFmt numFmtId="182" formatCode="&quot;速食燕麦片&quot;#&quot;g&quot;"/>
    <numFmt numFmtId="183" formatCode="&quot;燕麦麸皮&quot;#&quot;g&quot;"/>
    <numFmt numFmtId="184" formatCode="&quot;熟瘦肉&quot;#&quot;g（带油没事）&quot;"/>
    <numFmt numFmtId="185" formatCode="&quot;玉米/土豆&quot;#&quot;g（是甜玉米 不是糯玉米）&quot;"/>
    <numFmt numFmtId="186" formatCode="&quot;蛋白粉&quot;#&quot;g&quot;"/>
    <numFmt numFmtId="187" formatCode="&quot;红薯&quot;#&quot;g&quot;"/>
    <numFmt numFmtId="188" formatCode="&quot;熟面条&quot;#&quot;g（干面条则除以3）&quot;"/>
    <numFmt numFmtId="189" formatCode="&quot;熟米饭&quot;#&quot;g（生米则除以2.5）&quot;"/>
    <numFmt numFmtId="190" formatCode="&quot;碳水&quot;#&quot;g（全天40%）&quot;"/>
    <numFmt numFmtId="191" formatCode="&quot;蛋白质&quot;#&quot;g（全天30%）&quot;"/>
    <numFmt numFmtId="192" formatCode="&quot;营养米粉&quot;#&quot;g&quot;"/>
    <numFmt numFmtId="193" formatCode="&quot;碳水&quot;#&quot;g（全天30%）&quot;"/>
    <numFmt numFmtId="194" formatCode="&quot;碳水&quot;#&quot;g（全天10%）&quot;"/>
    <numFmt numFmtId="195" formatCode="&quot;碳水&quot;#&quot;g（全天100%）&quot;"/>
    <numFmt numFmtId="196" formatCode="&quot;蛋白质&quot;#&quot;g（全天100%）&quot;"/>
    <numFmt numFmtId="197" formatCode="&quot;脂肪0&quot;#.0&quot;g&quot;"/>
    <numFmt numFmtId="198" formatCode="&quot;碳水&quot;#&quot;g（和绿表早饭相同）&quot;"/>
    <numFmt numFmtId="199" formatCode="&quot;蛋白质&quot;#&quot;g（和绿表早饭相同）&quot;"/>
    <numFmt numFmtId="200" formatCode="&quot;熟面条&quot;#&quot;g（干面除以3）&quot;"/>
    <numFmt numFmtId="201" formatCode="&quot;熟米饭&quot;#&quot;g（生米除以2.5）&quot;"/>
    <numFmt numFmtId="202" formatCode="&quot;碳水&quot;#&quot;g&quot;"/>
    <numFmt numFmtId="203" formatCode="&quot;碳水&quot;#&quot;g（和绿表零食夜宵相同）&quot;"/>
    <numFmt numFmtId="204" formatCode="&quot;蛋白质&quot;#&quot;g（和绿表零食夜宵相同）&quot;"/>
    <numFmt numFmtId="205" formatCode="#&quot;cm&quot;"/>
    <numFmt numFmtId="206" formatCode="#&quot;kg&quot;"/>
  </numFmts>
  <fonts count="39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rgb="FFFF0000"/>
      <name val="等线"/>
      <family val="2"/>
      <charset val="134"/>
    </font>
    <font>
      <sz val="11"/>
      <color theme="1"/>
      <name val="等线"/>
      <family val="2"/>
      <charset val="134"/>
    </font>
    <font>
      <sz val="9"/>
      <color theme="1"/>
      <name val="等线"/>
      <family val="3"/>
      <charset val="134"/>
    </font>
    <font>
      <sz val="11"/>
      <color theme="1"/>
      <name val="等线"/>
      <family val="3"/>
      <charset val="134"/>
    </font>
    <font>
      <sz val="11"/>
      <color theme="0"/>
      <name val="等线"/>
      <family val="3"/>
      <charset val="134"/>
    </font>
    <font>
      <sz val="11"/>
      <color theme="0"/>
      <name val="Aptos Narrow"/>
      <family val="2"/>
      <charset val="134"/>
      <scheme val="minor"/>
    </font>
    <font>
      <b/>
      <sz val="14"/>
      <color rgb="FFFFFFFF"/>
      <name val="等线"/>
      <family val="3"/>
      <charset val="134"/>
    </font>
    <font>
      <sz val="11"/>
      <color rgb="FFFFFFFF"/>
      <name val="等线"/>
      <family val="3"/>
      <charset val="134"/>
    </font>
    <font>
      <b/>
      <sz val="11"/>
      <color rgb="FFFFFFFF"/>
      <name val="等线"/>
      <family val="3"/>
      <charset val="134"/>
    </font>
    <font>
      <sz val="11"/>
      <color theme="1"/>
      <name val="Aptos Narrow"/>
      <family val="2"/>
      <charset val="134"/>
      <scheme val="minor"/>
    </font>
    <font>
      <b/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sz val="9"/>
      <color rgb="FF000000"/>
      <name val="等线"/>
      <family val="3"/>
      <charset val="134"/>
    </font>
    <font>
      <sz val="10"/>
      <color rgb="FFFF0000"/>
      <name val="等线"/>
      <family val="3"/>
      <charset val="134"/>
    </font>
    <font>
      <sz val="9"/>
      <name val="等线"/>
      <family val="3"/>
      <charset val="134"/>
    </font>
    <font>
      <b/>
      <sz val="11"/>
      <color rgb="FFFF0000"/>
      <name val="等线"/>
      <family val="3"/>
      <charset val="134"/>
    </font>
    <font>
      <i/>
      <sz val="10"/>
      <color rgb="FF000000"/>
      <name val="等线"/>
      <family val="3"/>
      <charset val="134"/>
    </font>
    <font>
      <sz val="8"/>
      <color rgb="FF000000"/>
      <name val="等线"/>
      <family val="3"/>
      <charset val="134"/>
    </font>
    <font>
      <b/>
      <sz val="12"/>
      <color rgb="FFFFFFFF"/>
      <name val="等线"/>
      <family val="3"/>
      <charset val="134"/>
    </font>
    <font>
      <sz val="10"/>
      <color rgb="FFFFFFFF"/>
      <name val="等线"/>
      <family val="3"/>
      <charset val="134"/>
    </font>
    <font>
      <b/>
      <sz val="10"/>
      <name val="等线"/>
      <family val="3"/>
      <charset val="134"/>
    </font>
    <font>
      <i/>
      <sz val="10"/>
      <name val="等线"/>
      <family val="3"/>
      <charset val="134"/>
    </font>
    <font>
      <b/>
      <sz val="11"/>
      <name val="等线"/>
      <family val="3"/>
      <charset val="134"/>
    </font>
    <font>
      <i/>
      <sz val="9"/>
      <color rgb="FF595959"/>
      <name val="等线"/>
      <family val="3"/>
      <charset val="134"/>
    </font>
    <font>
      <i/>
      <sz val="10"/>
      <color rgb="FF595959"/>
      <name val="等线"/>
      <family val="3"/>
      <charset val="134"/>
    </font>
    <font>
      <sz val="9"/>
      <color rgb="FFFF0000"/>
      <name val="等线"/>
      <family val="3"/>
      <charset val="134"/>
    </font>
    <font>
      <b/>
      <sz val="9"/>
      <color rgb="FF000000"/>
      <name val="等线"/>
      <family val="3"/>
      <charset val="134"/>
    </font>
    <font>
      <sz val="9"/>
      <color theme="1" tint="0.34998626667073579"/>
      <name val="等线"/>
      <family val="3"/>
      <charset val="134"/>
    </font>
    <font>
      <b/>
      <sz val="9"/>
      <name val="等线"/>
      <family val="3"/>
      <charset val="134"/>
    </font>
    <font>
      <b/>
      <sz val="10"/>
      <color rgb="FFFFFFFF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0"/>
      <color rgb="FF000000"/>
      <name val="等线"/>
      <family val="2"/>
      <charset val="134"/>
    </font>
    <font>
      <sz val="10"/>
      <color theme="1"/>
      <name val="Aptos Narrow"/>
      <family val="3"/>
      <charset val="134"/>
      <scheme val="minor"/>
    </font>
    <font>
      <b/>
      <sz val="10"/>
      <color rgb="FFFF0000"/>
      <name val="等线"/>
      <family val="3"/>
      <charset val="134"/>
    </font>
    <font>
      <sz val="12"/>
      <color theme="1"/>
      <name val="Aptos Narrow"/>
      <family val="2"/>
      <scheme val="minor"/>
    </font>
    <font>
      <sz val="9"/>
      <color theme="1"/>
      <name val="Aptos Narrow"/>
      <family val="3"/>
      <charset val="134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B9BD5"/>
        <bgColor rgb="FFFFFFFF"/>
      </patternFill>
    </fill>
    <fill>
      <patternFill patternType="solid">
        <fgColor rgb="FF9BC2E6"/>
        <bgColor rgb="FFFFFFFF"/>
      </patternFill>
    </fill>
    <fill>
      <patternFill patternType="solid">
        <fgColor rgb="FF9BC2E6"/>
        <bgColor rgb="FF000000"/>
      </patternFill>
    </fill>
    <fill>
      <patternFill patternType="solid">
        <fgColor rgb="FF70AD47"/>
        <bgColor rgb="FFFFFFFF"/>
      </patternFill>
    </fill>
    <fill>
      <patternFill patternType="solid">
        <fgColor rgb="FFA9D08E"/>
        <bgColor rgb="FFFFFFFF"/>
      </patternFill>
    </fill>
    <fill>
      <patternFill patternType="solid">
        <fgColor rgb="FFC6E0B4"/>
        <bgColor rgb="FF000000"/>
      </patternFill>
    </fill>
    <fill>
      <patternFill patternType="solid">
        <fgColor rgb="FFC6E0B4"/>
        <bgColor rgb="FFFFFFFF"/>
      </patternFill>
    </fill>
    <fill>
      <patternFill patternType="solid">
        <fgColor rgb="FFA9D08E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BDD7EE"/>
        <bgColor rgb="FFFFFFFF"/>
      </patternFill>
    </fill>
    <fill>
      <patternFill patternType="solid">
        <fgColor rgb="FFDDEBF7"/>
        <bgColor rgb="FFFFFFFF"/>
      </patternFill>
    </fill>
    <fill>
      <patternFill patternType="solid">
        <fgColor rgb="FFDDEBF7"/>
        <bgColor rgb="FF000000"/>
      </patternFill>
    </fill>
    <fill>
      <patternFill patternType="solid">
        <fgColor rgb="FF9CC4E4"/>
        <bgColor rgb="FFFFFFFF"/>
      </patternFill>
    </fill>
    <fill>
      <patternFill patternType="solid">
        <fgColor rgb="FF9CC4E4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1">
    <xf numFmtId="0" fontId="0" fillId="0" borderId="0"/>
    <xf numFmtId="0" fontId="1" fillId="0" borderId="0"/>
    <xf numFmtId="0" fontId="7" fillId="2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9" fontId="37" fillId="0" borderId="0" applyFont="0" applyFill="0" applyBorder="0" applyAlignment="0" applyProtection="0"/>
  </cellStyleXfs>
  <cellXfs count="498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49" fontId="4" fillId="0" borderId="0" xfId="1" applyNumberFormat="1" applyFont="1" applyAlignment="1">
      <alignment horizontal="right" vertical="center"/>
    </xf>
    <xf numFmtId="0" fontId="5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10" fillId="0" borderId="0" xfId="2" applyFont="1" applyFill="1" applyBorder="1" applyAlignment="1">
      <alignment horizontal="center" vertical="center" wrapText="1"/>
    </xf>
    <xf numFmtId="0" fontId="12" fillId="11" borderId="4" xfId="3" applyFont="1" applyFill="1" applyBorder="1" applyAlignment="1">
      <alignment horizontal="center" vertical="center" wrapText="1"/>
    </xf>
    <xf numFmtId="164" fontId="14" fillId="0" borderId="0" xfId="3" applyNumberFormat="1" applyFont="1" applyFill="1" applyBorder="1" applyAlignment="1">
      <alignment horizontal="left" vertical="center" wrapText="1"/>
    </xf>
    <xf numFmtId="165" fontId="6" fillId="0" borderId="0" xfId="3" applyNumberFormat="1" applyFont="1" applyFill="1" applyBorder="1" applyAlignment="1">
      <alignment horizontal="left" vertical="center" wrapText="1"/>
    </xf>
    <xf numFmtId="166" fontId="6" fillId="0" borderId="0" xfId="3" applyNumberFormat="1" applyFont="1" applyFill="1" applyBorder="1" applyAlignment="1">
      <alignment horizontal="left" vertical="center" wrapText="1"/>
    </xf>
    <xf numFmtId="167" fontId="13" fillId="12" borderId="1" xfId="3" applyNumberFormat="1" applyFont="1" applyFill="1" applyBorder="1" applyAlignment="1">
      <alignment horizontal="left" vertical="center" wrapText="1"/>
    </xf>
    <xf numFmtId="166" fontId="14" fillId="0" borderId="0" xfId="3" applyNumberFormat="1" applyFont="1" applyFill="1" applyBorder="1" applyAlignment="1">
      <alignment horizontal="left" vertical="center" wrapText="1"/>
    </xf>
    <xf numFmtId="169" fontId="14" fillId="0" borderId="0" xfId="3" applyNumberFormat="1" applyFont="1" applyFill="1" applyBorder="1" applyAlignment="1">
      <alignment horizontal="left" vertical="center" wrapText="1"/>
    </xf>
    <xf numFmtId="171" fontId="14" fillId="0" borderId="0" xfId="3" applyNumberFormat="1" applyFont="1" applyFill="1" applyBorder="1" applyAlignment="1">
      <alignment horizontal="left" vertical="center" wrapText="1"/>
    </xf>
    <xf numFmtId="0" fontId="12" fillId="11" borderId="1" xfId="3" applyFont="1" applyFill="1" applyBorder="1" applyAlignment="1">
      <alignment horizontal="center" vertical="center" wrapText="1"/>
    </xf>
    <xf numFmtId="0" fontId="14" fillId="0" borderId="0" xfId="3" applyFont="1" applyFill="1" applyBorder="1" applyAlignment="1">
      <alignment vertical="center" wrapText="1"/>
    </xf>
    <xf numFmtId="0" fontId="15" fillId="11" borderId="4" xfId="3" applyFont="1" applyFill="1" applyBorder="1" applyAlignment="1">
      <alignment horizontal="left" vertical="center" wrapText="1" indent="1"/>
    </xf>
    <xf numFmtId="173" fontId="18" fillId="0" borderId="0" xfId="3" applyNumberFormat="1" applyFont="1" applyFill="1" applyBorder="1" applyAlignment="1">
      <alignment horizontal="left" vertical="center" wrapText="1"/>
    </xf>
    <xf numFmtId="173" fontId="15" fillId="11" borderId="4" xfId="3" applyNumberFormat="1" applyFont="1" applyFill="1" applyBorder="1" applyAlignment="1">
      <alignment horizontal="left" vertical="center" wrapText="1" indent="1"/>
    </xf>
    <xf numFmtId="0" fontId="13" fillId="11" borderId="4" xfId="3" applyFont="1" applyFill="1" applyBorder="1" applyAlignment="1">
      <alignment horizontal="center" vertical="center" wrapText="1"/>
    </xf>
    <xf numFmtId="0" fontId="14" fillId="0" borderId="0" xfId="3" applyFont="1" applyFill="1" applyBorder="1" applyAlignment="1">
      <alignment horizontal="center" vertical="center" wrapText="1"/>
    </xf>
    <xf numFmtId="176" fontId="13" fillId="11" borderId="2" xfId="3" applyNumberFormat="1" applyFont="1" applyFill="1" applyBorder="1" applyAlignment="1">
      <alignment horizontal="center" vertical="center" wrapText="1"/>
    </xf>
    <xf numFmtId="177" fontId="13" fillId="11" borderId="3" xfId="3" applyNumberFormat="1" applyFont="1" applyFill="1" applyBorder="1" applyAlignment="1">
      <alignment horizontal="left" vertical="center" wrapText="1"/>
    </xf>
    <xf numFmtId="178" fontId="18" fillId="0" borderId="0" xfId="3" applyNumberFormat="1" applyFont="1" applyFill="1" applyBorder="1" applyAlignment="1">
      <alignment horizontal="center" vertical="center" wrapText="1"/>
    </xf>
    <xf numFmtId="0" fontId="14" fillId="0" borderId="0" xfId="3" applyFont="1" applyFill="1" applyBorder="1" applyAlignment="1">
      <alignment horizontal="left" vertical="center" wrapText="1"/>
    </xf>
    <xf numFmtId="0" fontId="10" fillId="0" borderId="0" xfId="4" applyFont="1" applyFill="1" applyBorder="1" applyAlignment="1">
      <alignment horizontal="center" vertical="center" wrapText="1"/>
    </xf>
    <xf numFmtId="0" fontId="9" fillId="0" borderId="0" xfId="4" applyFont="1" applyFill="1" applyBorder="1" applyAlignment="1">
      <alignment horizontal="center" vertical="center" wrapText="1"/>
    </xf>
    <xf numFmtId="0" fontId="23" fillId="13" borderId="4" xfId="4" applyFont="1" applyFill="1" applyBorder="1" applyAlignment="1">
      <alignment horizontal="center" vertical="center" wrapText="1"/>
    </xf>
    <xf numFmtId="0" fontId="25" fillId="0" borderId="0" xfId="4" applyFont="1" applyFill="1" applyBorder="1" applyAlignment="1">
      <alignment horizontal="center" vertical="center" wrapText="1"/>
    </xf>
    <xf numFmtId="0" fontId="12" fillId="15" borderId="6" xfId="6" applyFont="1" applyFill="1" applyBorder="1" applyAlignment="1">
      <alignment horizontal="center" vertical="center" wrapText="1"/>
    </xf>
    <xf numFmtId="0" fontId="12" fillId="16" borderId="6" xfId="6" applyFont="1" applyFill="1" applyBorder="1" applyAlignment="1">
      <alignment horizontal="center" vertical="center" wrapText="1"/>
    </xf>
    <xf numFmtId="0" fontId="14" fillId="0" borderId="0" xfId="6" applyFont="1" applyFill="1" applyBorder="1" applyAlignment="1">
      <alignment horizontal="left" vertical="center" wrapText="1"/>
    </xf>
    <xf numFmtId="49" fontId="26" fillId="14" borderId="1" xfId="5" applyNumberFormat="1" applyFont="1" applyFill="1" applyBorder="1" applyAlignment="1">
      <alignment horizontal="right" vertical="center" wrapText="1"/>
    </xf>
    <xf numFmtId="0" fontId="3" fillId="15" borderId="0" xfId="1" applyFont="1" applyFill="1" applyAlignment="1">
      <alignment vertical="center"/>
    </xf>
    <xf numFmtId="0" fontId="15" fillId="15" borderId="6" xfId="1" applyFont="1" applyFill="1" applyBorder="1" applyAlignment="1">
      <alignment vertical="center" wrapText="1"/>
    </xf>
    <xf numFmtId="49" fontId="26" fillId="15" borderId="1" xfId="6" applyNumberFormat="1" applyFont="1" applyFill="1" applyBorder="1" applyAlignment="1">
      <alignment horizontal="right" vertical="center" wrapText="1"/>
    </xf>
    <xf numFmtId="0" fontId="15" fillId="15" borderId="6" xfId="6" applyFont="1" applyFill="1" applyBorder="1" applyAlignment="1">
      <alignment vertical="center" wrapText="1"/>
    </xf>
    <xf numFmtId="0" fontId="13" fillId="16" borderId="6" xfId="6" applyFont="1" applyFill="1" applyBorder="1" applyAlignment="1">
      <alignment vertical="center" wrapText="1"/>
    </xf>
    <xf numFmtId="0" fontId="14" fillId="15" borderId="0" xfId="1" applyFont="1" applyFill="1" applyAlignment="1">
      <alignment vertical="center"/>
    </xf>
    <xf numFmtId="0" fontId="14" fillId="15" borderId="15" xfId="1" applyFont="1" applyFill="1" applyBorder="1" applyAlignment="1">
      <alignment vertical="center"/>
    </xf>
    <xf numFmtId="49" fontId="26" fillId="15" borderId="1" xfId="7" applyNumberFormat="1" applyFont="1" applyFill="1" applyBorder="1" applyAlignment="1">
      <alignment horizontal="right" vertical="center" wrapText="1"/>
    </xf>
    <xf numFmtId="0" fontId="17" fillId="16" borderId="6" xfId="6" applyFont="1" applyFill="1" applyBorder="1" applyAlignment="1">
      <alignment vertical="center" wrapText="1"/>
    </xf>
    <xf numFmtId="49" fontId="26" fillId="17" borderId="1" xfId="6" applyNumberFormat="1" applyFont="1" applyFill="1" applyBorder="1" applyAlignment="1">
      <alignment horizontal="right" vertical="center" wrapText="1"/>
    </xf>
    <xf numFmtId="49" fontId="26" fillId="17" borderId="8" xfId="6" applyNumberFormat="1" applyFont="1" applyFill="1" applyBorder="1" applyAlignment="1">
      <alignment vertical="center" wrapText="1"/>
    </xf>
    <xf numFmtId="0" fontId="15" fillId="16" borderId="6" xfId="6" applyFont="1" applyFill="1" applyBorder="1" applyAlignment="1">
      <alignment vertical="center" wrapText="1"/>
    </xf>
    <xf numFmtId="49" fontId="26" fillId="17" borderId="14" xfId="6" applyNumberFormat="1" applyFont="1" applyFill="1" applyBorder="1" applyAlignment="1">
      <alignment vertical="center" wrapText="1"/>
    </xf>
    <xf numFmtId="49" fontId="26" fillId="17" borderId="11" xfId="6" applyNumberFormat="1" applyFont="1" applyFill="1" applyBorder="1" applyAlignment="1">
      <alignment vertical="center" wrapText="1"/>
    </xf>
    <xf numFmtId="0" fontId="13" fillId="16" borderId="7" xfId="6" applyFont="1" applyFill="1" applyBorder="1" applyAlignment="1">
      <alignment vertical="center" wrapText="1"/>
    </xf>
    <xf numFmtId="197" fontId="23" fillId="13" borderId="4" xfId="4" applyNumberFormat="1" applyFont="1" applyFill="1" applyBorder="1" applyAlignment="1">
      <alignment horizontal="center" vertical="center" wrapText="1"/>
    </xf>
    <xf numFmtId="0" fontId="33" fillId="18" borderId="4" xfId="1" applyFont="1" applyFill="1" applyBorder="1" applyAlignment="1">
      <alignment horizontal="center" vertical="center"/>
    </xf>
    <xf numFmtId="49" fontId="26" fillId="12" borderId="1" xfId="5" applyNumberFormat="1" applyFont="1" applyFill="1" applyBorder="1" applyAlignment="1">
      <alignment horizontal="right" vertical="center" wrapText="1"/>
    </xf>
    <xf numFmtId="49" fontId="26" fillId="19" borderId="1" xfId="7" applyNumberFormat="1" applyFont="1" applyFill="1" applyBorder="1" applyAlignment="1">
      <alignment horizontal="right" vertical="center" wrapText="1"/>
    </xf>
    <xf numFmtId="49" fontId="26" fillId="22" borderId="1" xfId="7" applyNumberFormat="1" applyFont="1" applyFill="1" applyBorder="1" applyAlignment="1">
      <alignment horizontal="right" vertical="center" wrapText="1"/>
    </xf>
    <xf numFmtId="49" fontId="26" fillId="22" borderId="1" xfId="6" applyNumberFormat="1" applyFont="1" applyFill="1" applyBorder="1" applyAlignment="1">
      <alignment horizontal="right" vertical="center" wrapText="1"/>
    </xf>
    <xf numFmtId="49" fontId="26" fillId="24" borderId="1" xfId="6" applyNumberFormat="1" applyFont="1" applyFill="1" applyBorder="1" applyAlignment="1">
      <alignment horizontal="right" vertical="center" wrapText="1"/>
    </xf>
    <xf numFmtId="49" fontId="26" fillId="24" borderId="8" xfId="6" applyNumberFormat="1" applyFont="1" applyFill="1" applyBorder="1" applyAlignment="1">
      <alignment vertical="center" wrapText="1"/>
    </xf>
    <xf numFmtId="49" fontId="26" fillId="24" borderId="14" xfId="6" applyNumberFormat="1" applyFont="1" applyFill="1" applyBorder="1" applyAlignment="1">
      <alignment vertical="center" wrapText="1"/>
    </xf>
    <xf numFmtId="49" fontId="26" fillId="24" borderId="11" xfId="6" applyNumberFormat="1" applyFont="1" applyFill="1" applyBorder="1" applyAlignment="1">
      <alignment vertical="center" wrapText="1"/>
    </xf>
    <xf numFmtId="197" fontId="23" fillId="18" borderId="4" xfId="4" applyNumberFormat="1" applyFont="1" applyFill="1" applyBorder="1" applyAlignment="1">
      <alignment horizontal="center" vertical="center" wrapText="1"/>
    </xf>
    <xf numFmtId="0" fontId="8" fillId="10" borderId="1" xfId="2" applyFont="1" applyFill="1" applyBorder="1" applyAlignment="1">
      <alignment horizontal="center" vertical="center" wrapText="1"/>
    </xf>
    <xf numFmtId="0" fontId="8" fillId="10" borderId="2" xfId="2" applyFont="1" applyFill="1" applyBorder="1" applyAlignment="1">
      <alignment horizontal="center" vertical="center" wrapText="1"/>
    </xf>
    <xf numFmtId="0" fontId="8" fillId="10" borderId="3" xfId="2" applyFont="1" applyFill="1" applyBorder="1" applyAlignment="1">
      <alignment horizontal="center" vertical="center" wrapText="1"/>
    </xf>
    <xf numFmtId="164" fontId="13" fillId="11" borderId="1" xfId="3" applyNumberFormat="1" applyFont="1" applyFill="1" applyBorder="1" applyAlignment="1">
      <alignment horizontal="left" vertical="center" wrapText="1"/>
    </xf>
    <xf numFmtId="164" fontId="13" fillId="11" borderId="2" xfId="3" applyNumberFormat="1" applyFont="1" applyFill="1" applyBorder="1" applyAlignment="1">
      <alignment horizontal="left" vertical="center" wrapText="1"/>
    </xf>
    <xf numFmtId="164" fontId="13" fillId="11" borderId="3" xfId="3" applyNumberFormat="1" applyFont="1" applyFill="1" applyBorder="1" applyAlignment="1">
      <alignment horizontal="left" vertical="center" wrapText="1"/>
    </xf>
    <xf numFmtId="205" fontId="13" fillId="11" borderId="1" xfId="3" applyNumberFormat="1" applyFont="1" applyFill="1" applyBorder="1" applyAlignment="1">
      <alignment horizontal="left" vertical="center" wrapText="1"/>
    </xf>
    <xf numFmtId="205" fontId="13" fillId="11" borderId="2" xfId="3" applyNumberFormat="1" applyFont="1" applyFill="1" applyBorder="1" applyAlignment="1">
      <alignment horizontal="left" vertical="center" wrapText="1"/>
    </xf>
    <xf numFmtId="205" fontId="13" fillId="11" borderId="3" xfId="3" applyNumberFormat="1" applyFont="1" applyFill="1" applyBorder="1" applyAlignment="1">
      <alignment horizontal="left" vertical="center" wrapText="1"/>
    </xf>
    <xf numFmtId="206" fontId="13" fillId="11" borderId="1" xfId="3" applyNumberFormat="1" applyFont="1" applyFill="1" applyBorder="1" applyAlignment="1">
      <alignment horizontal="left" vertical="center" wrapText="1"/>
    </xf>
    <xf numFmtId="206" fontId="13" fillId="11" borderId="2" xfId="3" applyNumberFormat="1" applyFont="1" applyFill="1" applyBorder="1" applyAlignment="1">
      <alignment horizontal="left" vertical="center" wrapText="1"/>
    </xf>
    <xf numFmtId="206" fontId="13" fillId="11" borderId="3" xfId="3" applyNumberFormat="1" applyFont="1" applyFill="1" applyBorder="1" applyAlignment="1">
      <alignment horizontal="left" vertical="center" wrapText="1"/>
    </xf>
    <xf numFmtId="168" fontId="15" fillId="11" borderId="2" xfId="3" applyNumberFormat="1" applyFont="1" applyFill="1" applyBorder="1" applyAlignment="1">
      <alignment horizontal="left" vertical="center" wrapText="1"/>
    </xf>
    <xf numFmtId="168" fontId="15" fillId="11" borderId="3" xfId="3" applyNumberFormat="1" applyFont="1" applyFill="1" applyBorder="1" applyAlignment="1">
      <alignment horizontal="left" vertical="center" wrapText="1"/>
    </xf>
    <xf numFmtId="0" fontId="13" fillId="11" borderId="1" xfId="3" applyFont="1" applyFill="1" applyBorder="1" applyAlignment="1">
      <alignment horizontal="left" vertical="center" wrapText="1"/>
    </xf>
    <xf numFmtId="0" fontId="13" fillId="11" borderId="2" xfId="3" applyFont="1" applyFill="1" applyBorder="1" applyAlignment="1">
      <alignment horizontal="left" vertical="center" wrapText="1"/>
    </xf>
    <xf numFmtId="0" fontId="13" fillId="11" borderId="3" xfId="3" applyFont="1" applyFill="1" applyBorder="1" applyAlignment="1">
      <alignment horizontal="left" vertical="center" wrapText="1"/>
    </xf>
    <xf numFmtId="0" fontId="15" fillId="11" borderId="1" xfId="3" applyFont="1" applyFill="1" applyBorder="1" applyAlignment="1">
      <alignment horizontal="left" vertical="center" wrapText="1"/>
    </xf>
    <xf numFmtId="0" fontId="15" fillId="11" borderId="2" xfId="3" applyFont="1" applyFill="1" applyBorder="1" applyAlignment="1">
      <alignment horizontal="left" vertical="center" wrapText="1"/>
    </xf>
    <xf numFmtId="0" fontId="15" fillId="11" borderId="3" xfId="3" applyFont="1" applyFill="1" applyBorder="1" applyAlignment="1">
      <alignment horizontal="left" vertical="center" wrapText="1"/>
    </xf>
    <xf numFmtId="174" fontId="17" fillId="11" borderId="1" xfId="3" applyNumberFormat="1" applyFont="1" applyFill="1" applyBorder="1" applyAlignment="1">
      <alignment horizontal="center" vertical="center" wrapText="1"/>
    </xf>
    <xf numFmtId="174" fontId="17" fillId="11" borderId="3" xfId="3" applyNumberFormat="1" applyFont="1" applyFill="1" applyBorder="1" applyAlignment="1">
      <alignment horizontal="center" vertical="center" wrapText="1"/>
    </xf>
    <xf numFmtId="173" fontId="15" fillId="11" borderId="5" xfId="3" applyNumberFormat="1" applyFont="1" applyFill="1" applyBorder="1" applyAlignment="1">
      <alignment horizontal="center" vertical="center" wrapText="1"/>
    </xf>
    <xf numFmtId="173" fontId="15" fillId="11" borderId="7" xfId="3" applyNumberFormat="1" applyFont="1" applyFill="1" applyBorder="1" applyAlignment="1">
      <alignment horizontal="center" vertical="center" wrapText="1"/>
    </xf>
    <xf numFmtId="0" fontId="15" fillId="11" borderId="8" xfId="3" applyFont="1" applyFill="1" applyBorder="1" applyAlignment="1">
      <alignment horizontal="left" vertical="center" wrapText="1"/>
    </xf>
    <xf numFmtId="0" fontId="15" fillId="11" borderId="9" xfId="3" applyFont="1" applyFill="1" applyBorder="1" applyAlignment="1">
      <alignment horizontal="left" vertical="center" wrapText="1"/>
    </xf>
    <xf numFmtId="0" fontId="15" fillId="11" borderId="10" xfId="3" applyFont="1" applyFill="1" applyBorder="1" applyAlignment="1">
      <alignment horizontal="left" vertical="center" wrapText="1"/>
    </xf>
    <xf numFmtId="0" fontId="15" fillId="11" borderId="11" xfId="3" applyFont="1" applyFill="1" applyBorder="1" applyAlignment="1">
      <alignment horizontal="left" vertical="center" wrapText="1"/>
    </xf>
    <xf numFmtId="0" fontId="15" fillId="11" borderId="12" xfId="3" applyFont="1" applyFill="1" applyBorder="1" applyAlignment="1">
      <alignment horizontal="left" vertical="center" wrapText="1"/>
    </xf>
    <xf numFmtId="0" fontId="15" fillId="11" borderId="13" xfId="3" applyFont="1" applyFill="1" applyBorder="1" applyAlignment="1">
      <alignment horizontal="left" vertical="center" wrapText="1"/>
    </xf>
    <xf numFmtId="170" fontId="13" fillId="11" borderId="1" xfId="3" applyNumberFormat="1" applyFont="1" applyFill="1" applyBorder="1" applyAlignment="1">
      <alignment horizontal="left" vertical="center" wrapText="1"/>
    </xf>
    <xf numFmtId="170" fontId="13" fillId="11" borderId="2" xfId="3" applyNumberFormat="1" applyFont="1" applyFill="1" applyBorder="1" applyAlignment="1">
      <alignment horizontal="left" vertical="center" wrapText="1"/>
    </xf>
    <xf numFmtId="170" fontId="13" fillId="11" borderId="3" xfId="3" applyNumberFormat="1" applyFont="1" applyFill="1" applyBorder="1" applyAlignment="1">
      <alignment horizontal="left" vertical="center" wrapText="1"/>
    </xf>
    <xf numFmtId="172" fontId="16" fillId="11" borderId="1" xfId="3" applyNumberFormat="1" applyFont="1" applyFill="1" applyBorder="1" applyAlignment="1">
      <alignment horizontal="left" vertical="center" wrapText="1"/>
    </xf>
    <xf numFmtId="172" fontId="16" fillId="11" borderId="2" xfId="3" applyNumberFormat="1" applyFont="1" applyFill="1" applyBorder="1" applyAlignment="1">
      <alignment horizontal="left" vertical="center" wrapText="1"/>
    </xf>
    <xf numFmtId="172" fontId="16" fillId="11" borderId="3" xfId="3" applyNumberFormat="1" applyFont="1" applyFill="1" applyBorder="1" applyAlignment="1">
      <alignment horizontal="left" vertical="center" wrapText="1"/>
    </xf>
    <xf numFmtId="173" fontId="15" fillId="11" borderId="6" xfId="3" applyNumberFormat="1" applyFont="1" applyFill="1" applyBorder="1" applyAlignment="1">
      <alignment horizontal="center" vertical="center" wrapText="1"/>
    </xf>
    <xf numFmtId="174" fontId="17" fillId="11" borderId="1" xfId="3" applyNumberFormat="1" applyFont="1" applyFill="1" applyBorder="1" applyAlignment="1">
      <alignment horizontal="left" vertical="center" wrapText="1"/>
    </xf>
    <xf numFmtId="174" fontId="17" fillId="11" borderId="2" xfId="3" applyNumberFormat="1" applyFont="1" applyFill="1" applyBorder="1" applyAlignment="1">
      <alignment horizontal="left" vertical="center" wrapText="1"/>
    </xf>
    <xf numFmtId="174" fontId="17" fillId="11" borderId="3" xfId="3" applyNumberFormat="1" applyFont="1" applyFill="1" applyBorder="1" applyAlignment="1">
      <alignment horizontal="left" vertical="center" wrapText="1"/>
    </xf>
    <xf numFmtId="174" fontId="15" fillId="11" borderId="1" xfId="3" applyNumberFormat="1" applyFont="1" applyFill="1" applyBorder="1" applyAlignment="1">
      <alignment horizontal="left" vertical="center" wrapText="1"/>
    </xf>
    <xf numFmtId="174" fontId="15" fillId="11" borderId="2" xfId="3" applyNumberFormat="1" applyFont="1" applyFill="1" applyBorder="1" applyAlignment="1">
      <alignment horizontal="left" vertical="center" wrapText="1"/>
    </xf>
    <xf numFmtId="174" fontId="15" fillId="11" borderId="3" xfId="3" applyNumberFormat="1" applyFont="1" applyFill="1" applyBorder="1" applyAlignment="1">
      <alignment horizontal="left" vertical="center" wrapText="1"/>
    </xf>
    <xf numFmtId="0" fontId="12" fillId="11" borderId="5" xfId="3" applyFont="1" applyFill="1" applyBorder="1" applyAlignment="1">
      <alignment horizontal="center" vertical="center" wrapText="1"/>
    </xf>
    <xf numFmtId="0" fontId="12" fillId="11" borderId="6" xfId="3" applyFont="1" applyFill="1" applyBorder="1" applyAlignment="1">
      <alignment horizontal="center" vertical="center" wrapText="1"/>
    </xf>
    <xf numFmtId="0" fontId="12" fillId="11" borderId="7" xfId="3" applyFont="1" applyFill="1" applyBorder="1" applyAlignment="1">
      <alignment horizontal="center" vertical="center" wrapText="1"/>
    </xf>
    <xf numFmtId="0" fontId="12" fillId="11" borderId="1" xfId="3" applyFont="1" applyFill="1" applyBorder="1" applyAlignment="1">
      <alignment horizontal="center" vertical="center" wrapText="1"/>
    </xf>
    <xf numFmtId="0" fontId="12" fillId="11" borderId="3" xfId="3" applyFont="1" applyFill="1" applyBorder="1" applyAlignment="1">
      <alignment horizontal="center" vertical="center" wrapText="1"/>
    </xf>
    <xf numFmtId="0" fontId="13" fillId="11" borderId="1" xfId="3" applyFont="1" applyFill="1" applyBorder="1" applyAlignment="1">
      <alignment horizontal="center" vertical="center" wrapText="1"/>
    </xf>
    <xf numFmtId="0" fontId="13" fillId="11" borderId="2" xfId="3" applyFont="1" applyFill="1" applyBorder="1" applyAlignment="1">
      <alignment horizontal="center" vertical="center" wrapText="1"/>
    </xf>
    <xf numFmtId="0" fontId="13" fillId="11" borderId="3" xfId="3" applyFont="1" applyFill="1" applyBorder="1" applyAlignment="1">
      <alignment horizontal="center" vertical="center" wrapText="1"/>
    </xf>
    <xf numFmtId="175" fontId="15" fillId="11" borderId="1" xfId="3" applyNumberFormat="1" applyFont="1" applyFill="1" applyBorder="1" applyAlignment="1">
      <alignment horizontal="right" vertical="center" wrapText="1"/>
    </xf>
    <xf numFmtId="175" fontId="15" fillId="11" borderId="2" xfId="3" applyNumberFormat="1" applyFont="1" applyFill="1" applyBorder="1" applyAlignment="1">
      <alignment horizontal="right" vertical="center" wrapText="1"/>
    </xf>
    <xf numFmtId="0" fontId="21" fillId="13" borderId="1" xfId="4" applyFont="1" applyFill="1" applyBorder="1" applyAlignment="1">
      <alignment horizontal="center" vertical="center" wrapText="1"/>
    </xf>
    <xf numFmtId="0" fontId="21" fillId="13" borderId="2" xfId="4" applyFont="1" applyFill="1" applyBorder="1" applyAlignment="1">
      <alignment horizontal="center" vertical="center" wrapText="1"/>
    </xf>
    <xf numFmtId="0" fontId="21" fillId="13" borderId="3" xfId="4" applyFont="1" applyFill="1" applyBorder="1" applyAlignment="1">
      <alignment horizontal="center" vertical="center" wrapText="1"/>
    </xf>
    <xf numFmtId="178" fontId="13" fillId="11" borderId="5" xfId="3" applyNumberFormat="1" applyFont="1" applyFill="1" applyBorder="1" applyAlignment="1">
      <alignment horizontal="center" vertical="center" wrapText="1"/>
    </xf>
    <xf numFmtId="178" fontId="13" fillId="11" borderId="7" xfId="3" applyNumberFormat="1" applyFont="1" applyFill="1" applyBorder="1" applyAlignment="1">
      <alignment horizontal="center" vertical="center" wrapText="1"/>
    </xf>
    <xf numFmtId="0" fontId="15" fillId="16" borderId="6" xfId="6" applyFont="1" applyFill="1" applyBorder="1" applyAlignment="1">
      <alignment horizontal="left" vertical="center" wrapText="1"/>
    </xf>
    <xf numFmtId="182" fontId="27" fillId="14" borderId="2" xfId="5" applyNumberFormat="1" applyFont="1" applyFill="1" applyBorder="1" applyAlignment="1">
      <alignment horizontal="left" vertical="center" wrapText="1"/>
    </xf>
    <xf numFmtId="182" fontId="27" fillId="14" borderId="3" xfId="5" applyNumberFormat="1" applyFont="1" applyFill="1" applyBorder="1" applyAlignment="1">
      <alignment horizontal="left" vertical="center" wrapText="1"/>
    </xf>
    <xf numFmtId="0" fontId="27" fillId="14" borderId="2" xfId="5" applyFont="1" applyFill="1" applyBorder="1" applyAlignment="1">
      <alignment horizontal="left" vertical="center" wrapText="1"/>
    </xf>
    <xf numFmtId="0" fontId="27" fillId="14" borderId="3" xfId="5" applyFont="1" applyFill="1" applyBorder="1" applyAlignment="1">
      <alignment horizontal="left" vertical="center" wrapText="1"/>
    </xf>
    <xf numFmtId="183" fontId="27" fillId="14" borderId="2" xfId="5" applyNumberFormat="1" applyFont="1" applyFill="1" applyBorder="1" applyAlignment="1">
      <alignment horizontal="left" vertical="center" wrapText="1"/>
    </xf>
    <xf numFmtId="183" fontId="27" fillId="14" borderId="3" xfId="5" applyNumberFormat="1" applyFont="1" applyFill="1" applyBorder="1" applyAlignment="1">
      <alignment horizontal="left" vertical="center" wrapText="1"/>
    </xf>
    <xf numFmtId="184" fontId="27" fillId="14" borderId="2" xfId="5" applyNumberFormat="1" applyFont="1" applyFill="1" applyBorder="1" applyAlignment="1">
      <alignment horizontal="left" vertical="center" wrapText="1"/>
    </xf>
    <xf numFmtId="184" fontId="27" fillId="14" borderId="3" xfId="5" applyNumberFormat="1" applyFont="1" applyFill="1" applyBorder="1" applyAlignment="1">
      <alignment horizontal="left" vertical="center" wrapText="1"/>
    </xf>
    <xf numFmtId="0" fontId="28" fillId="15" borderId="6" xfId="6" applyFont="1" applyFill="1" applyBorder="1" applyAlignment="1">
      <alignment horizontal="left" vertical="center" wrapText="1"/>
    </xf>
    <xf numFmtId="0" fontId="28" fillId="16" borderId="6" xfId="6" applyFont="1" applyFill="1" applyBorder="1" applyAlignment="1">
      <alignment horizontal="left" vertical="center" wrapText="1"/>
    </xf>
    <xf numFmtId="0" fontId="22" fillId="13" borderId="1" xfId="4" applyFont="1" applyFill="1" applyBorder="1" applyAlignment="1">
      <alignment horizontal="center" vertical="center" wrapText="1"/>
    </xf>
    <xf numFmtId="0" fontId="22" fillId="13" borderId="2" xfId="4" applyFont="1" applyFill="1" applyBorder="1" applyAlignment="1">
      <alignment horizontal="center" vertical="center" wrapText="1"/>
    </xf>
    <xf numFmtId="0" fontId="22" fillId="13" borderId="3" xfId="4" applyFont="1" applyFill="1" applyBorder="1" applyAlignment="1">
      <alignment horizontal="center" vertical="center" wrapText="1"/>
    </xf>
    <xf numFmtId="0" fontId="23" fillId="13" borderId="1" xfId="4" applyFont="1" applyFill="1" applyBorder="1" applyAlignment="1">
      <alignment horizontal="center" vertical="center" wrapText="1"/>
    </xf>
    <xf numFmtId="0" fontId="23" fillId="13" borderId="2" xfId="4" applyFont="1" applyFill="1" applyBorder="1" applyAlignment="1">
      <alignment horizontal="center" vertical="center" wrapText="1"/>
    </xf>
    <xf numFmtId="0" fontId="23" fillId="13" borderId="3" xfId="4" applyFont="1" applyFill="1" applyBorder="1" applyAlignment="1">
      <alignment horizontal="center" vertical="center" wrapText="1"/>
    </xf>
    <xf numFmtId="0" fontId="12" fillId="14" borderId="8" xfId="5" applyFont="1" applyFill="1" applyBorder="1" applyAlignment="1">
      <alignment horizontal="left" wrapText="1"/>
    </xf>
    <xf numFmtId="0" fontId="12" fillId="14" borderId="9" xfId="5" applyFont="1" applyFill="1" applyBorder="1" applyAlignment="1">
      <alignment horizontal="left" wrapText="1"/>
    </xf>
    <xf numFmtId="0" fontId="12" fillId="14" borderId="10" xfId="5" applyFont="1" applyFill="1" applyBorder="1" applyAlignment="1">
      <alignment horizontal="left" wrapText="1"/>
    </xf>
    <xf numFmtId="0" fontId="12" fillId="14" borderId="14" xfId="5" applyFont="1" applyFill="1" applyBorder="1" applyAlignment="1">
      <alignment horizontal="left" wrapText="1"/>
    </xf>
    <xf numFmtId="0" fontId="12" fillId="14" borderId="0" xfId="5" applyFont="1" applyFill="1" applyBorder="1" applyAlignment="1">
      <alignment horizontal="left" wrapText="1"/>
    </xf>
    <xf numFmtId="0" fontId="12" fillId="14" borderId="15" xfId="5" applyFont="1" applyFill="1" applyBorder="1" applyAlignment="1">
      <alignment horizontal="left" wrapText="1"/>
    </xf>
    <xf numFmtId="179" fontId="12" fillId="14" borderId="1" xfId="5" applyNumberFormat="1" applyFont="1" applyFill="1" applyBorder="1" applyAlignment="1">
      <alignment horizontal="center" vertical="center" wrapText="1"/>
    </xf>
    <xf numFmtId="179" fontId="12" fillId="14" borderId="2" xfId="5" applyNumberFormat="1" applyFont="1" applyFill="1" applyBorder="1" applyAlignment="1">
      <alignment horizontal="center" vertical="center" wrapText="1"/>
    </xf>
    <xf numFmtId="179" fontId="12" fillId="14" borderId="3" xfId="5" applyNumberFormat="1" applyFont="1" applyFill="1" applyBorder="1" applyAlignment="1">
      <alignment horizontal="center" vertical="center" wrapText="1"/>
    </xf>
    <xf numFmtId="180" fontId="12" fillId="14" borderId="1" xfId="5" applyNumberFormat="1" applyFont="1" applyFill="1" applyBorder="1" applyAlignment="1">
      <alignment horizontal="center" vertical="center" wrapText="1"/>
    </xf>
    <xf numFmtId="180" fontId="12" fillId="14" borderId="2" xfId="5" applyNumberFormat="1" applyFont="1" applyFill="1" applyBorder="1" applyAlignment="1">
      <alignment horizontal="center" vertical="center" wrapText="1"/>
    </xf>
    <xf numFmtId="180" fontId="12" fillId="14" borderId="3" xfId="5" applyNumberFormat="1" applyFont="1" applyFill="1" applyBorder="1" applyAlignment="1">
      <alignment horizontal="center" vertical="center" wrapText="1"/>
    </xf>
    <xf numFmtId="181" fontId="27" fillId="14" borderId="2" xfId="5" applyNumberFormat="1" applyFont="1" applyFill="1" applyBorder="1" applyAlignment="1">
      <alignment horizontal="left" vertical="center" wrapText="1"/>
    </xf>
    <xf numFmtId="181" fontId="27" fillId="14" borderId="3" xfId="5" applyNumberFormat="1" applyFont="1" applyFill="1" applyBorder="1" applyAlignment="1">
      <alignment horizontal="left" vertical="center" wrapText="1"/>
    </xf>
    <xf numFmtId="0" fontId="15" fillId="15" borderId="6" xfId="6" applyFont="1" applyFill="1" applyBorder="1" applyAlignment="1">
      <alignment horizontal="left" vertical="center" wrapText="1"/>
    </xf>
    <xf numFmtId="0" fontId="12" fillId="16" borderId="8" xfId="6" applyFont="1" applyFill="1" applyBorder="1" applyAlignment="1">
      <alignment horizontal="left" wrapText="1"/>
    </xf>
    <xf numFmtId="0" fontId="12" fillId="16" borderId="9" xfId="6" applyFont="1" applyFill="1" applyBorder="1" applyAlignment="1">
      <alignment horizontal="left" wrapText="1"/>
    </xf>
    <xf numFmtId="0" fontId="12" fillId="16" borderId="10" xfId="6" applyFont="1" applyFill="1" applyBorder="1" applyAlignment="1">
      <alignment horizontal="left" wrapText="1"/>
    </xf>
    <xf numFmtId="0" fontId="12" fillId="16" borderId="14" xfId="6" applyFont="1" applyFill="1" applyBorder="1" applyAlignment="1">
      <alignment horizontal="left" wrapText="1"/>
    </xf>
    <xf numFmtId="0" fontId="12" fillId="16" borderId="0" xfId="6" applyFont="1" applyFill="1" applyBorder="1" applyAlignment="1">
      <alignment horizontal="left" wrapText="1"/>
    </xf>
    <xf numFmtId="0" fontId="12" fillId="16" borderId="15" xfId="6" applyFont="1" applyFill="1" applyBorder="1" applyAlignment="1">
      <alignment horizontal="left" wrapText="1"/>
    </xf>
    <xf numFmtId="190" fontId="29" fillId="15" borderId="1" xfId="6" applyNumberFormat="1" applyFont="1" applyFill="1" applyBorder="1" applyAlignment="1">
      <alignment horizontal="center" vertical="center" wrapText="1"/>
    </xf>
    <xf numFmtId="190" fontId="29" fillId="15" borderId="2" xfId="6" applyNumberFormat="1" applyFont="1" applyFill="1" applyBorder="1" applyAlignment="1">
      <alignment horizontal="center" vertical="center" wrapText="1"/>
    </xf>
    <xf numFmtId="190" fontId="29" fillId="15" borderId="3" xfId="6" applyNumberFormat="1" applyFont="1" applyFill="1" applyBorder="1" applyAlignment="1">
      <alignment horizontal="center" vertical="center" wrapText="1"/>
    </xf>
    <xf numFmtId="191" fontId="29" fillId="15" borderId="1" xfId="6" applyNumberFormat="1" applyFont="1" applyFill="1" applyBorder="1" applyAlignment="1">
      <alignment horizontal="center" vertical="center" wrapText="1"/>
    </xf>
    <xf numFmtId="191" fontId="29" fillId="15" borderId="2" xfId="6" applyNumberFormat="1" applyFont="1" applyFill="1" applyBorder="1" applyAlignment="1">
      <alignment horizontal="center" vertical="center" wrapText="1"/>
    </xf>
    <xf numFmtId="191" fontId="29" fillId="15" borderId="3" xfId="6" applyNumberFormat="1" applyFont="1" applyFill="1" applyBorder="1" applyAlignment="1">
      <alignment horizontal="center" vertical="center" wrapText="1"/>
    </xf>
    <xf numFmtId="189" fontId="27" fillId="15" borderId="2" xfId="6" applyNumberFormat="1" applyFont="1" applyFill="1" applyBorder="1" applyAlignment="1">
      <alignment horizontal="left" vertical="center" wrapText="1"/>
    </xf>
    <xf numFmtId="189" fontId="27" fillId="15" borderId="3" xfId="6" applyNumberFormat="1" applyFont="1" applyFill="1" applyBorder="1" applyAlignment="1">
      <alignment horizontal="left" vertical="center" wrapText="1"/>
    </xf>
    <xf numFmtId="184" fontId="27" fillId="15" borderId="2" xfId="6" applyNumberFormat="1" applyFont="1" applyFill="1" applyBorder="1" applyAlignment="1">
      <alignment horizontal="left" vertical="center" wrapText="1"/>
    </xf>
    <xf numFmtId="184" fontId="27" fillId="15" borderId="3" xfId="6" applyNumberFormat="1" applyFont="1" applyFill="1" applyBorder="1" applyAlignment="1">
      <alignment horizontal="left" vertical="center" wrapText="1"/>
    </xf>
    <xf numFmtId="188" fontId="27" fillId="15" borderId="2" xfId="6" applyNumberFormat="1" applyFont="1" applyFill="1" applyBorder="1" applyAlignment="1">
      <alignment horizontal="left" vertical="center" wrapText="1"/>
    </xf>
    <xf numFmtId="188" fontId="27" fillId="15" borderId="3" xfId="6" applyNumberFormat="1" applyFont="1" applyFill="1" applyBorder="1" applyAlignment="1">
      <alignment horizontal="left" vertical="center" wrapText="1"/>
    </xf>
    <xf numFmtId="186" fontId="27" fillId="15" borderId="2" xfId="6" applyNumberFormat="1" applyFont="1" applyFill="1" applyBorder="1" applyAlignment="1">
      <alignment horizontal="left" vertical="center" wrapText="1"/>
    </xf>
    <xf numFmtId="186" fontId="27" fillId="15" borderId="3" xfId="6" applyNumberFormat="1" applyFont="1" applyFill="1" applyBorder="1" applyAlignment="1">
      <alignment horizontal="left" vertical="center" wrapText="1"/>
    </xf>
    <xf numFmtId="0" fontId="15" fillId="14" borderId="14" xfId="5" applyFont="1" applyFill="1" applyBorder="1" applyAlignment="1">
      <alignment horizontal="left" vertical="top" wrapText="1"/>
    </xf>
    <xf numFmtId="0" fontId="15" fillId="14" borderId="0" xfId="5" applyFont="1" applyFill="1" applyBorder="1" applyAlignment="1">
      <alignment horizontal="left" vertical="top" wrapText="1"/>
    </xf>
    <xf numFmtId="0" fontId="15" fillId="14" borderId="15" xfId="5" applyFont="1" applyFill="1" applyBorder="1" applyAlignment="1">
      <alignment horizontal="left" vertical="top" wrapText="1"/>
    </xf>
    <xf numFmtId="0" fontId="15" fillId="14" borderId="11" xfId="5" applyFont="1" applyFill="1" applyBorder="1" applyAlignment="1">
      <alignment horizontal="left" vertical="top" wrapText="1"/>
    </xf>
    <xf numFmtId="0" fontId="15" fillId="14" borderId="12" xfId="5" applyFont="1" applyFill="1" applyBorder="1" applyAlignment="1">
      <alignment horizontal="left" vertical="top" wrapText="1"/>
    </xf>
    <xf numFmtId="0" fontId="15" fillId="14" borderId="13" xfId="5" applyFont="1" applyFill="1" applyBorder="1" applyAlignment="1">
      <alignment horizontal="left" vertical="top" wrapText="1"/>
    </xf>
    <xf numFmtId="185" fontId="27" fillId="14" borderId="2" xfId="5" applyNumberFormat="1" applyFont="1" applyFill="1" applyBorder="1" applyAlignment="1">
      <alignment horizontal="left" vertical="center" wrapText="1"/>
    </xf>
    <xf numFmtId="185" fontId="27" fillId="14" borderId="3" xfId="5" applyNumberFormat="1" applyFont="1" applyFill="1" applyBorder="1" applyAlignment="1">
      <alignment horizontal="left" vertical="center" wrapText="1"/>
    </xf>
    <xf numFmtId="186" fontId="27" fillId="14" borderId="2" xfId="5" applyNumberFormat="1" applyFont="1" applyFill="1" applyBorder="1" applyAlignment="1">
      <alignment horizontal="left" vertical="center" wrapText="1"/>
    </xf>
    <xf numFmtId="186" fontId="27" fillId="14" borderId="3" xfId="5" applyNumberFormat="1" applyFont="1" applyFill="1" applyBorder="1" applyAlignment="1">
      <alignment horizontal="left" vertical="center" wrapText="1"/>
    </xf>
    <xf numFmtId="187" fontId="27" fillId="14" borderId="2" xfId="5" applyNumberFormat="1" applyFont="1" applyFill="1" applyBorder="1" applyAlignment="1">
      <alignment horizontal="left" vertical="center" wrapText="1"/>
    </xf>
    <xf numFmtId="187" fontId="27" fillId="14" borderId="3" xfId="5" applyNumberFormat="1" applyFont="1" applyFill="1" applyBorder="1" applyAlignment="1">
      <alignment horizontal="left" vertical="center" wrapText="1"/>
    </xf>
    <xf numFmtId="0" fontId="28" fillId="14" borderId="8" xfId="5" applyFont="1" applyFill="1" applyBorder="1" applyAlignment="1">
      <alignment horizontal="left" vertical="center" wrapText="1"/>
    </xf>
    <xf numFmtId="0" fontId="28" fillId="14" borderId="9" xfId="5" applyFont="1" applyFill="1" applyBorder="1" applyAlignment="1">
      <alignment horizontal="left" vertical="center" wrapText="1"/>
    </xf>
    <xf numFmtId="0" fontId="28" fillId="14" borderId="10" xfId="5" applyFont="1" applyFill="1" applyBorder="1" applyAlignment="1">
      <alignment horizontal="left" vertical="center" wrapText="1"/>
    </xf>
    <xf numFmtId="0" fontId="28" fillId="14" borderId="14" xfId="5" applyFont="1" applyFill="1" applyBorder="1" applyAlignment="1">
      <alignment horizontal="left" vertical="center" wrapText="1"/>
    </xf>
    <xf numFmtId="0" fontId="28" fillId="14" borderId="0" xfId="5" applyFont="1" applyFill="1" applyBorder="1" applyAlignment="1">
      <alignment horizontal="left" vertical="center" wrapText="1"/>
    </xf>
    <xf numFmtId="0" fontId="28" fillId="14" borderId="15" xfId="5" applyFont="1" applyFill="1" applyBorder="1" applyAlignment="1">
      <alignment horizontal="left" vertical="center" wrapText="1"/>
    </xf>
    <xf numFmtId="0" fontId="28" fillId="14" borderId="11" xfId="5" applyFont="1" applyFill="1" applyBorder="1" applyAlignment="1">
      <alignment horizontal="left" vertical="center" wrapText="1"/>
    </xf>
    <xf numFmtId="0" fontId="28" fillId="14" borderId="12" xfId="5" applyFont="1" applyFill="1" applyBorder="1" applyAlignment="1">
      <alignment horizontal="left" vertical="center" wrapText="1"/>
    </xf>
    <xf numFmtId="0" fontId="28" fillId="14" borderId="13" xfId="5" applyFont="1" applyFill="1" applyBorder="1" applyAlignment="1">
      <alignment horizontal="left" vertical="center" wrapText="1"/>
    </xf>
    <xf numFmtId="188" fontId="27" fillId="14" borderId="2" xfId="5" applyNumberFormat="1" applyFont="1" applyFill="1" applyBorder="1" applyAlignment="1">
      <alignment horizontal="left" vertical="center" wrapText="1"/>
    </xf>
    <xf numFmtId="188" fontId="27" fillId="14" borderId="3" xfId="5" applyNumberFormat="1" applyFont="1" applyFill="1" applyBorder="1" applyAlignment="1">
      <alignment horizontal="left" vertical="center" wrapText="1"/>
    </xf>
    <xf numFmtId="189" fontId="27" fillId="14" borderId="2" xfId="5" applyNumberFormat="1" applyFont="1" applyFill="1" applyBorder="1" applyAlignment="1">
      <alignment horizontal="left" vertical="center" wrapText="1"/>
    </xf>
    <xf numFmtId="189" fontId="27" fillId="14" borderId="3" xfId="5" applyNumberFormat="1" applyFont="1" applyFill="1" applyBorder="1" applyAlignment="1">
      <alignment horizontal="left" vertical="center" wrapText="1"/>
    </xf>
    <xf numFmtId="181" fontId="27" fillId="15" borderId="2" xfId="7" applyNumberFormat="1" applyFont="1" applyFill="1" applyBorder="1" applyAlignment="1">
      <alignment horizontal="left" vertical="center" wrapText="1"/>
    </xf>
    <xf numFmtId="181" fontId="27" fillId="15" borderId="3" xfId="7" applyNumberFormat="1" applyFont="1" applyFill="1" applyBorder="1" applyAlignment="1">
      <alignment horizontal="left" vertical="center" wrapText="1"/>
    </xf>
    <xf numFmtId="185" fontId="27" fillId="15" borderId="2" xfId="5" applyNumberFormat="1" applyFont="1" applyFill="1" applyBorder="1" applyAlignment="1">
      <alignment horizontal="left" vertical="center" wrapText="1"/>
    </xf>
    <xf numFmtId="185" fontId="27" fillId="15" borderId="3" xfId="5" applyNumberFormat="1" applyFont="1" applyFill="1" applyBorder="1" applyAlignment="1">
      <alignment horizontal="left" vertical="center" wrapText="1"/>
    </xf>
    <xf numFmtId="0" fontId="17" fillId="16" borderId="6" xfId="6" applyFont="1" applyFill="1" applyBorder="1" applyAlignment="1">
      <alignment horizontal="left" vertical="center" wrapText="1"/>
    </xf>
    <xf numFmtId="187" fontId="27" fillId="15" borderId="2" xfId="5" applyNumberFormat="1" applyFont="1" applyFill="1" applyBorder="1" applyAlignment="1">
      <alignment horizontal="left" vertical="center" wrapText="1"/>
    </xf>
    <xf numFmtId="187" fontId="27" fillId="15" borderId="3" xfId="5" applyNumberFormat="1" applyFont="1" applyFill="1" applyBorder="1" applyAlignment="1">
      <alignment horizontal="left" vertical="center" wrapText="1"/>
    </xf>
    <xf numFmtId="0" fontId="12" fillId="15" borderId="8" xfId="6" applyFont="1" applyFill="1" applyBorder="1" applyAlignment="1">
      <alignment horizontal="left" vertical="center" wrapText="1"/>
    </xf>
    <xf numFmtId="0" fontId="12" fillId="15" borderId="9" xfId="6" applyFont="1" applyFill="1" applyBorder="1" applyAlignment="1">
      <alignment horizontal="left" vertical="center" wrapText="1"/>
    </xf>
    <xf numFmtId="0" fontId="12" fillId="15" borderId="10" xfId="6" applyFont="1" applyFill="1" applyBorder="1" applyAlignment="1">
      <alignment horizontal="left" vertical="center" wrapText="1"/>
    </xf>
    <xf numFmtId="0" fontId="12" fillId="15" borderId="14" xfId="6" applyFont="1" applyFill="1" applyBorder="1" applyAlignment="1">
      <alignment horizontal="left" vertical="center" wrapText="1"/>
    </xf>
    <xf numFmtId="0" fontId="12" fillId="15" borderId="0" xfId="6" applyFont="1" applyFill="1" applyBorder="1" applyAlignment="1">
      <alignment horizontal="left" vertical="center" wrapText="1"/>
    </xf>
    <xf numFmtId="0" fontId="12" fillId="15" borderId="15" xfId="6" applyFont="1" applyFill="1" applyBorder="1" applyAlignment="1">
      <alignment horizontal="left" vertical="center" wrapText="1"/>
    </xf>
    <xf numFmtId="0" fontId="12" fillId="15" borderId="11" xfId="6" applyFont="1" applyFill="1" applyBorder="1" applyAlignment="1">
      <alignment horizontal="left" vertical="center" wrapText="1"/>
    </xf>
    <xf numFmtId="0" fontId="12" fillId="15" borderId="12" xfId="6" applyFont="1" applyFill="1" applyBorder="1" applyAlignment="1">
      <alignment horizontal="left" vertical="center" wrapText="1"/>
    </xf>
    <xf numFmtId="0" fontId="12" fillId="15" borderId="13" xfId="6" applyFont="1" applyFill="1" applyBorder="1" applyAlignment="1">
      <alignment horizontal="left" vertical="center" wrapText="1"/>
    </xf>
    <xf numFmtId="193" fontId="29" fillId="15" borderId="1" xfId="6" applyNumberFormat="1" applyFont="1" applyFill="1" applyBorder="1" applyAlignment="1">
      <alignment horizontal="center" vertical="center" wrapText="1"/>
    </xf>
    <xf numFmtId="193" fontId="29" fillId="15" borderId="2" xfId="6" applyNumberFormat="1" applyFont="1" applyFill="1" applyBorder="1" applyAlignment="1">
      <alignment horizontal="center" vertical="center" wrapText="1"/>
    </xf>
    <xf numFmtId="193" fontId="29" fillId="15" borderId="3" xfId="6" applyNumberFormat="1" applyFont="1" applyFill="1" applyBorder="1" applyAlignment="1">
      <alignment horizontal="center" vertical="center" wrapText="1"/>
    </xf>
    <xf numFmtId="189" fontId="27" fillId="15" borderId="2" xfId="7" applyNumberFormat="1" applyFont="1" applyFill="1" applyBorder="1" applyAlignment="1">
      <alignment horizontal="left" vertical="center" wrapText="1"/>
    </xf>
    <xf numFmtId="189" fontId="27" fillId="15" borderId="3" xfId="7" applyNumberFormat="1" applyFont="1" applyFill="1" applyBorder="1" applyAlignment="1">
      <alignment horizontal="left" vertical="center" wrapText="1"/>
    </xf>
    <xf numFmtId="188" fontId="27" fillId="15" borderId="2" xfId="7" applyNumberFormat="1" applyFont="1" applyFill="1" applyBorder="1" applyAlignment="1">
      <alignment horizontal="left" vertical="center" wrapText="1"/>
    </xf>
    <xf numFmtId="188" fontId="27" fillId="15" borderId="3" xfId="7" applyNumberFormat="1" applyFont="1" applyFill="1" applyBorder="1" applyAlignment="1">
      <alignment horizontal="left" vertical="center" wrapText="1"/>
    </xf>
    <xf numFmtId="49" fontId="28" fillId="15" borderId="8" xfId="6" applyNumberFormat="1" applyFont="1" applyFill="1" applyBorder="1" applyAlignment="1">
      <alignment horizontal="left" vertical="center" wrapText="1"/>
    </xf>
    <xf numFmtId="49" fontId="28" fillId="15" borderId="9" xfId="6" applyNumberFormat="1" applyFont="1" applyFill="1" applyBorder="1" applyAlignment="1">
      <alignment horizontal="left" vertical="center" wrapText="1"/>
    </xf>
    <xf numFmtId="49" fontId="28" fillId="15" borderId="10" xfId="6" applyNumberFormat="1" applyFont="1" applyFill="1" applyBorder="1" applyAlignment="1">
      <alignment horizontal="left" vertical="center" wrapText="1"/>
    </xf>
    <xf numFmtId="49" fontId="28" fillId="15" borderId="14" xfId="6" applyNumberFormat="1" applyFont="1" applyFill="1" applyBorder="1" applyAlignment="1">
      <alignment horizontal="left" vertical="center" wrapText="1"/>
    </xf>
    <xf numFmtId="49" fontId="28" fillId="15" borderId="0" xfId="6" applyNumberFormat="1" applyFont="1" applyFill="1" applyBorder="1" applyAlignment="1">
      <alignment horizontal="left" vertical="center" wrapText="1"/>
    </xf>
    <xf numFmtId="49" fontId="28" fillId="15" borderId="15" xfId="6" applyNumberFormat="1" applyFont="1" applyFill="1" applyBorder="1" applyAlignment="1">
      <alignment horizontal="left" vertical="center" wrapText="1"/>
    </xf>
    <xf numFmtId="49" fontId="28" fillId="15" borderId="11" xfId="6" applyNumberFormat="1" applyFont="1" applyFill="1" applyBorder="1" applyAlignment="1">
      <alignment horizontal="left" vertical="center" wrapText="1"/>
    </xf>
    <xf numFmtId="49" fontId="28" fillId="15" borderId="12" xfId="6" applyNumberFormat="1" applyFont="1" applyFill="1" applyBorder="1" applyAlignment="1">
      <alignment horizontal="left" vertical="center" wrapText="1"/>
    </xf>
    <xf numFmtId="49" fontId="28" fillId="15" borderId="13" xfId="6" applyNumberFormat="1" applyFont="1" applyFill="1" applyBorder="1" applyAlignment="1">
      <alignment horizontal="left" vertical="center" wrapText="1"/>
    </xf>
    <xf numFmtId="0" fontId="15" fillId="16" borderId="14" xfId="6" applyFont="1" applyFill="1" applyBorder="1" applyAlignment="1">
      <alignment horizontal="left" vertical="top" wrapText="1"/>
    </xf>
    <xf numFmtId="0" fontId="15" fillId="16" borderId="0" xfId="6" applyFont="1" applyFill="1" applyBorder="1" applyAlignment="1">
      <alignment horizontal="left" vertical="top" wrapText="1"/>
    </xf>
    <xf numFmtId="0" fontId="15" fillId="16" borderId="15" xfId="6" applyFont="1" applyFill="1" applyBorder="1" applyAlignment="1">
      <alignment horizontal="left" vertical="top" wrapText="1"/>
    </xf>
    <xf numFmtId="0" fontId="15" fillId="16" borderId="11" xfId="6" applyFont="1" applyFill="1" applyBorder="1" applyAlignment="1">
      <alignment horizontal="left" vertical="top" wrapText="1"/>
    </xf>
    <xf numFmtId="0" fontId="15" fillId="16" borderId="12" xfId="6" applyFont="1" applyFill="1" applyBorder="1" applyAlignment="1">
      <alignment horizontal="left" vertical="top" wrapText="1"/>
    </xf>
    <xf numFmtId="0" fontId="15" fillId="16" borderId="13" xfId="6" applyFont="1" applyFill="1" applyBorder="1" applyAlignment="1">
      <alignment horizontal="left" vertical="top" wrapText="1"/>
    </xf>
    <xf numFmtId="181" fontId="27" fillId="15" borderId="2" xfId="6" applyNumberFormat="1" applyFont="1" applyFill="1" applyBorder="1" applyAlignment="1">
      <alignment horizontal="left" vertical="center" wrapText="1"/>
    </xf>
    <xf numFmtId="181" fontId="27" fillId="15" borderId="3" xfId="6" applyNumberFormat="1" applyFont="1" applyFill="1" applyBorder="1" applyAlignment="1">
      <alignment horizontal="left" vertical="center" wrapText="1"/>
    </xf>
    <xf numFmtId="0" fontId="28" fillId="15" borderId="8" xfId="6" applyFont="1" applyFill="1" applyBorder="1" applyAlignment="1">
      <alignment vertical="center" wrapText="1"/>
    </xf>
    <xf numFmtId="0" fontId="28" fillId="15" borderId="9" xfId="6" applyFont="1" applyFill="1" applyBorder="1" applyAlignment="1">
      <alignment vertical="center" wrapText="1"/>
    </xf>
    <xf numFmtId="0" fontId="28" fillId="15" borderId="10" xfId="6" applyFont="1" applyFill="1" applyBorder="1" applyAlignment="1">
      <alignment vertical="center" wrapText="1"/>
    </xf>
    <xf numFmtId="0" fontId="28" fillId="15" borderId="14" xfId="6" applyFont="1" applyFill="1" applyBorder="1" applyAlignment="1">
      <alignment vertical="center" wrapText="1"/>
    </xf>
    <xf numFmtId="0" fontId="28" fillId="15" borderId="0" xfId="6" applyFont="1" applyFill="1" applyBorder="1" applyAlignment="1">
      <alignment vertical="center" wrapText="1"/>
    </xf>
    <xf numFmtId="0" fontId="28" fillId="15" borderId="15" xfId="6" applyFont="1" applyFill="1" applyBorder="1" applyAlignment="1">
      <alignment vertical="center" wrapText="1"/>
    </xf>
    <xf numFmtId="0" fontId="28" fillId="15" borderId="11" xfId="6" applyFont="1" applyFill="1" applyBorder="1" applyAlignment="1">
      <alignment vertical="center" wrapText="1"/>
    </xf>
    <xf numFmtId="0" fontId="28" fillId="15" borderId="12" xfId="6" applyFont="1" applyFill="1" applyBorder="1" applyAlignment="1">
      <alignment vertical="center" wrapText="1"/>
    </xf>
    <xf numFmtId="0" fontId="28" fillId="15" borderId="13" xfId="6" applyFont="1" applyFill="1" applyBorder="1" applyAlignment="1">
      <alignment vertical="center" wrapText="1"/>
    </xf>
    <xf numFmtId="192" fontId="27" fillId="15" borderId="2" xfId="6" applyNumberFormat="1" applyFont="1" applyFill="1" applyBorder="1" applyAlignment="1">
      <alignment horizontal="left" vertical="center" wrapText="1"/>
    </xf>
    <xf numFmtId="192" fontId="27" fillId="15" borderId="3" xfId="6" applyNumberFormat="1" applyFont="1" applyFill="1" applyBorder="1" applyAlignment="1">
      <alignment horizontal="left" vertical="center" wrapText="1"/>
    </xf>
    <xf numFmtId="0" fontId="28" fillId="16" borderId="7" xfId="6" applyFont="1" applyFill="1" applyBorder="1" applyAlignment="1">
      <alignment horizontal="left" vertical="center" wrapText="1"/>
    </xf>
    <xf numFmtId="49" fontId="27" fillId="14" borderId="1" xfId="5" applyNumberFormat="1" applyFont="1" applyFill="1" applyBorder="1" applyAlignment="1">
      <alignment horizontal="left" vertical="center" wrapText="1"/>
    </xf>
    <xf numFmtId="49" fontId="27" fillId="14" borderId="2" xfId="5" applyNumberFormat="1" applyFont="1" applyFill="1" applyBorder="1" applyAlignment="1">
      <alignment horizontal="left" vertical="center" wrapText="1"/>
    </xf>
    <xf numFmtId="49" fontId="27" fillId="14" borderId="3" xfId="5" applyNumberFormat="1" applyFont="1" applyFill="1" applyBorder="1" applyAlignment="1">
      <alignment horizontal="left" vertical="center" wrapText="1"/>
    </xf>
    <xf numFmtId="186" fontId="27" fillId="14" borderId="12" xfId="5" applyNumberFormat="1" applyFont="1" applyFill="1" applyBorder="1" applyAlignment="1">
      <alignment vertical="center" wrapText="1"/>
    </xf>
    <xf numFmtId="186" fontId="27" fillId="14" borderId="13" xfId="5" applyNumberFormat="1" applyFont="1" applyFill="1" applyBorder="1" applyAlignment="1">
      <alignment vertical="center" wrapText="1"/>
    </xf>
    <xf numFmtId="0" fontId="23" fillId="13" borderId="1" xfId="4" applyFont="1" applyFill="1" applyBorder="1" applyAlignment="1">
      <alignment horizontal="left" vertical="center" wrapText="1"/>
    </xf>
    <xf numFmtId="0" fontId="23" fillId="13" borderId="2" xfId="4" applyFont="1" applyFill="1" applyBorder="1" applyAlignment="1">
      <alignment horizontal="left" vertical="center" wrapText="1"/>
    </xf>
    <xf numFmtId="0" fontId="23" fillId="13" borderId="3" xfId="4" applyFont="1" applyFill="1" applyBorder="1" applyAlignment="1">
      <alignment horizontal="left" vertical="center" wrapText="1"/>
    </xf>
    <xf numFmtId="195" fontId="31" fillId="13" borderId="1" xfId="4" applyNumberFormat="1" applyFont="1" applyFill="1" applyBorder="1" applyAlignment="1">
      <alignment horizontal="center" vertical="center" wrapText="1"/>
    </xf>
    <xf numFmtId="195" fontId="31" fillId="13" borderId="2" xfId="4" applyNumberFormat="1" applyFont="1" applyFill="1" applyBorder="1" applyAlignment="1">
      <alignment horizontal="center" vertical="center" wrapText="1"/>
    </xf>
    <xf numFmtId="195" fontId="31" fillId="13" borderId="3" xfId="4" applyNumberFormat="1" applyFont="1" applyFill="1" applyBorder="1" applyAlignment="1">
      <alignment horizontal="center" vertical="center" wrapText="1"/>
    </xf>
    <xf numFmtId="196" fontId="31" fillId="13" borderId="1" xfId="4" applyNumberFormat="1" applyFont="1" applyFill="1" applyBorder="1" applyAlignment="1">
      <alignment horizontal="center" vertical="center" wrapText="1"/>
    </xf>
    <xf numFmtId="196" fontId="31" fillId="13" borderId="2" xfId="4" applyNumberFormat="1" applyFont="1" applyFill="1" applyBorder="1" applyAlignment="1">
      <alignment horizontal="center" vertical="center" wrapText="1"/>
    </xf>
    <xf numFmtId="196" fontId="31" fillId="13" borderId="3" xfId="4" applyNumberFormat="1" applyFont="1" applyFill="1" applyBorder="1" applyAlignment="1">
      <alignment horizontal="center" vertical="center" wrapText="1"/>
    </xf>
    <xf numFmtId="0" fontId="23" fillId="14" borderId="8" xfId="5" applyFont="1" applyFill="1" applyBorder="1" applyAlignment="1">
      <alignment horizontal="left" wrapText="1"/>
    </xf>
    <xf numFmtId="0" fontId="23" fillId="14" borderId="9" xfId="5" applyFont="1" applyFill="1" applyBorder="1" applyAlignment="1">
      <alignment horizontal="left" wrapText="1"/>
    </xf>
    <xf numFmtId="0" fontId="23" fillId="14" borderId="10" xfId="5" applyFont="1" applyFill="1" applyBorder="1" applyAlignment="1">
      <alignment horizontal="left" wrapText="1"/>
    </xf>
    <xf numFmtId="0" fontId="23" fillId="14" borderId="14" xfId="5" applyFont="1" applyFill="1" applyBorder="1" applyAlignment="1">
      <alignment horizontal="left" wrapText="1"/>
    </xf>
    <xf numFmtId="0" fontId="23" fillId="14" borderId="0" xfId="5" applyFont="1" applyFill="1" applyBorder="1" applyAlignment="1">
      <alignment horizontal="left" wrapText="1"/>
    </xf>
    <xf numFmtId="0" fontId="23" fillId="14" borderId="15" xfId="5" applyFont="1" applyFill="1" applyBorder="1" applyAlignment="1">
      <alignment horizontal="left" wrapText="1"/>
    </xf>
    <xf numFmtId="194" fontId="23" fillId="14" borderId="1" xfId="5" applyNumberFormat="1" applyFont="1" applyFill="1" applyBorder="1" applyAlignment="1">
      <alignment horizontal="center" vertical="center" wrapText="1"/>
    </xf>
    <xf numFmtId="194" fontId="23" fillId="14" borderId="2" xfId="5" applyNumberFormat="1" applyFont="1" applyFill="1" applyBorder="1" applyAlignment="1">
      <alignment horizontal="center" vertical="center" wrapText="1"/>
    </xf>
    <xf numFmtId="194" fontId="23" fillId="14" borderId="3" xfId="5" applyNumberFormat="1" applyFont="1" applyFill="1" applyBorder="1" applyAlignment="1">
      <alignment horizontal="center" vertical="center" wrapText="1"/>
    </xf>
    <xf numFmtId="180" fontId="12" fillId="17" borderId="1" xfId="6" applyNumberFormat="1" applyFont="1" applyFill="1" applyBorder="1" applyAlignment="1">
      <alignment horizontal="center" vertical="center" wrapText="1"/>
    </xf>
    <xf numFmtId="180" fontId="12" fillId="17" borderId="2" xfId="6" applyNumberFormat="1" applyFont="1" applyFill="1" applyBorder="1" applyAlignment="1">
      <alignment horizontal="center" vertical="center" wrapText="1"/>
    </xf>
    <xf numFmtId="180" fontId="12" fillId="17" borderId="3" xfId="6" applyNumberFormat="1" applyFont="1" applyFill="1" applyBorder="1" applyAlignment="1">
      <alignment horizontal="center" vertical="center" wrapText="1"/>
    </xf>
    <xf numFmtId="49" fontId="30" fillId="14" borderId="8" xfId="5" applyNumberFormat="1" applyFont="1" applyFill="1" applyBorder="1" applyAlignment="1">
      <alignment horizontal="center" vertical="center" wrapText="1"/>
    </xf>
    <xf numFmtId="49" fontId="30" fillId="14" borderId="9" xfId="5" applyNumberFormat="1" applyFont="1" applyFill="1" applyBorder="1" applyAlignment="1">
      <alignment horizontal="center" vertical="center" wrapText="1"/>
    </xf>
    <xf numFmtId="49" fontId="30" fillId="14" borderId="10" xfId="5" applyNumberFormat="1" applyFont="1" applyFill="1" applyBorder="1" applyAlignment="1">
      <alignment horizontal="center" vertical="center" wrapText="1"/>
    </xf>
    <xf numFmtId="49" fontId="30" fillId="14" borderId="11" xfId="5" applyNumberFormat="1" applyFont="1" applyFill="1" applyBorder="1" applyAlignment="1">
      <alignment horizontal="center" vertical="center" wrapText="1"/>
    </xf>
    <xf numFmtId="49" fontId="30" fillId="14" borderId="12" xfId="5" applyNumberFormat="1" applyFont="1" applyFill="1" applyBorder="1" applyAlignment="1">
      <alignment horizontal="center" vertical="center" wrapText="1"/>
    </xf>
    <xf numFmtId="49" fontId="30" fillId="14" borderId="13" xfId="5" applyNumberFormat="1" applyFont="1" applyFill="1" applyBorder="1" applyAlignment="1">
      <alignment horizontal="center" vertical="center" wrapText="1"/>
    </xf>
    <xf numFmtId="0" fontId="28" fillId="17" borderId="14" xfId="1" applyFont="1" applyFill="1" applyBorder="1" applyAlignment="1">
      <alignment vertical="top" wrapText="1"/>
    </xf>
    <xf numFmtId="0" fontId="28" fillId="17" borderId="0" xfId="1" applyFont="1" applyFill="1" applyAlignment="1">
      <alignment vertical="top" wrapText="1"/>
    </xf>
    <xf numFmtId="0" fontId="28" fillId="17" borderId="15" xfId="1" applyFont="1" applyFill="1" applyBorder="1" applyAlignment="1">
      <alignment vertical="top" wrapText="1"/>
    </xf>
    <xf numFmtId="0" fontId="28" fillId="17" borderId="11" xfId="1" applyFont="1" applyFill="1" applyBorder="1" applyAlignment="1">
      <alignment vertical="top" wrapText="1"/>
    </xf>
    <xf numFmtId="0" fontId="28" fillId="17" borderId="12" xfId="1" applyFont="1" applyFill="1" applyBorder="1" applyAlignment="1">
      <alignment vertical="top" wrapText="1"/>
    </xf>
    <xf numFmtId="0" fontId="28" fillId="17" borderId="13" xfId="1" applyFont="1" applyFill="1" applyBorder="1" applyAlignment="1">
      <alignment vertical="top" wrapText="1"/>
    </xf>
    <xf numFmtId="186" fontId="27" fillId="14" borderId="9" xfId="5" applyNumberFormat="1" applyFont="1" applyFill="1" applyBorder="1" applyAlignment="1">
      <alignment horizontal="left" vertical="center" wrapText="1"/>
    </xf>
    <xf numFmtId="186" fontId="27" fillId="14" borderId="10" xfId="5" applyNumberFormat="1" applyFont="1" applyFill="1" applyBorder="1" applyAlignment="1">
      <alignment horizontal="left" vertical="center" wrapText="1"/>
    </xf>
    <xf numFmtId="186" fontId="27" fillId="14" borderId="0" xfId="5" applyNumberFormat="1" applyFont="1" applyFill="1" applyBorder="1" applyAlignment="1">
      <alignment vertical="center" wrapText="1"/>
    </xf>
    <xf numFmtId="186" fontId="27" fillId="14" borderId="15" xfId="5" applyNumberFormat="1" applyFont="1" applyFill="1" applyBorder="1" applyAlignment="1">
      <alignment vertical="center" wrapText="1"/>
    </xf>
    <xf numFmtId="0" fontId="21" fillId="10" borderId="1" xfId="2" applyFont="1" applyFill="1" applyBorder="1" applyAlignment="1">
      <alignment horizontal="center" vertical="center" wrapText="1"/>
    </xf>
    <xf numFmtId="0" fontId="21" fillId="10" borderId="2" xfId="2" applyFont="1" applyFill="1" applyBorder="1" applyAlignment="1">
      <alignment horizontal="center" vertical="center" wrapText="1"/>
    </xf>
    <xf numFmtId="0" fontId="21" fillId="10" borderId="3" xfId="2" applyFont="1" applyFill="1" applyBorder="1" applyAlignment="1">
      <alignment horizontal="center" vertical="center" wrapText="1"/>
    </xf>
    <xf numFmtId="0" fontId="22" fillId="10" borderId="1" xfId="2" applyFont="1" applyFill="1" applyBorder="1" applyAlignment="1">
      <alignment horizontal="center" vertical="center" wrapText="1"/>
    </xf>
    <xf numFmtId="0" fontId="22" fillId="10" borderId="2" xfId="2" applyFont="1" applyFill="1" applyBorder="1" applyAlignment="1">
      <alignment horizontal="center" vertical="center" wrapText="1"/>
    </xf>
    <xf numFmtId="0" fontId="22" fillId="10" borderId="3" xfId="2" applyFont="1" applyFill="1" applyBorder="1" applyAlignment="1">
      <alignment horizontal="center" vertical="center" wrapText="1"/>
    </xf>
    <xf numFmtId="0" fontId="23" fillId="10" borderId="1" xfId="2" applyFont="1" applyFill="1" applyBorder="1" applyAlignment="1">
      <alignment horizontal="center" vertical="center" wrapText="1"/>
    </xf>
    <xf numFmtId="0" fontId="23" fillId="10" borderId="2" xfId="2" applyFont="1" applyFill="1" applyBorder="1" applyAlignment="1">
      <alignment horizontal="center" vertical="center" wrapText="1"/>
    </xf>
    <xf numFmtId="0" fontId="23" fillId="10" borderId="3" xfId="2" applyFont="1" applyFill="1" applyBorder="1" applyAlignment="1">
      <alignment horizontal="center" vertical="center" wrapText="1"/>
    </xf>
    <xf numFmtId="0" fontId="31" fillId="10" borderId="1" xfId="2" applyFont="1" applyFill="1" applyBorder="1" applyAlignment="1">
      <alignment horizontal="center" vertical="center" wrapText="1"/>
    </xf>
    <xf numFmtId="0" fontId="31" fillId="10" borderId="2" xfId="2" applyFont="1" applyFill="1" applyBorder="1" applyAlignment="1">
      <alignment horizontal="center" vertical="center" wrapText="1"/>
    </xf>
    <xf numFmtId="0" fontId="31" fillId="10" borderId="3" xfId="2" applyFont="1" applyFill="1" applyBorder="1" applyAlignment="1">
      <alignment horizontal="center" vertical="center" wrapText="1"/>
    </xf>
    <xf numFmtId="0" fontId="12" fillId="11" borderId="8" xfId="3" applyFont="1" applyFill="1" applyBorder="1" applyAlignment="1">
      <alignment horizontal="left" vertical="center" wrapText="1"/>
    </xf>
    <xf numFmtId="0" fontId="12" fillId="11" borderId="9" xfId="3" applyFont="1" applyFill="1" applyBorder="1" applyAlignment="1">
      <alignment horizontal="left" vertical="center" wrapText="1"/>
    </xf>
    <xf numFmtId="0" fontId="12" fillId="11" borderId="10" xfId="3" applyFont="1" applyFill="1" applyBorder="1" applyAlignment="1">
      <alignment horizontal="left" vertical="center" wrapText="1"/>
    </xf>
    <xf numFmtId="0" fontId="12" fillId="11" borderId="14" xfId="3" applyFont="1" applyFill="1" applyBorder="1" applyAlignment="1">
      <alignment horizontal="left" vertical="center" wrapText="1"/>
    </xf>
    <xf numFmtId="0" fontId="12" fillId="11" borderId="0" xfId="3" applyFont="1" applyFill="1" applyBorder="1" applyAlignment="1">
      <alignment horizontal="left" vertical="center" wrapText="1"/>
    </xf>
    <xf numFmtId="0" fontId="12" fillId="11" borderId="15" xfId="3" applyFont="1" applyFill="1" applyBorder="1" applyAlignment="1">
      <alignment horizontal="left" vertical="center" wrapText="1"/>
    </xf>
    <xf numFmtId="0" fontId="12" fillId="11" borderId="11" xfId="3" applyFont="1" applyFill="1" applyBorder="1" applyAlignment="1">
      <alignment horizontal="left" vertical="center" wrapText="1"/>
    </xf>
    <xf numFmtId="0" fontId="12" fillId="11" borderId="12" xfId="3" applyFont="1" applyFill="1" applyBorder="1" applyAlignment="1">
      <alignment horizontal="left" vertical="center" wrapText="1"/>
    </xf>
    <xf numFmtId="0" fontId="12" fillId="11" borderId="13" xfId="3" applyFont="1" applyFill="1" applyBorder="1" applyAlignment="1">
      <alignment horizontal="left" vertical="center" wrapText="1"/>
    </xf>
    <xf numFmtId="198" fontId="12" fillId="11" borderId="1" xfId="3" applyNumberFormat="1" applyFont="1" applyFill="1" applyBorder="1" applyAlignment="1">
      <alignment horizontal="center" vertical="center" wrapText="1"/>
    </xf>
    <xf numFmtId="198" fontId="12" fillId="11" borderId="2" xfId="3" applyNumberFormat="1" applyFont="1" applyFill="1" applyBorder="1" applyAlignment="1">
      <alignment horizontal="center" vertical="center" wrapText="1"/>
    </xf>
    <xf numFmtId="198" fontId="12" fillId="11" borderId="3" xfId="3" applyNumberFormat="1" applyFont="1" applyFill="1" applyBorder="1" applyAlignment="1">
      <alignment horizontal="center" vertical="center" wrapText="1"/>
    </xf>
    <xf numFmtId="199" fontId="12" fillId="11" borderId="1" xfId="3" applyNumberFormat="1" applyFont="1" applyFill="1" applyBorder="1" applyAlignment="1">
      <alignment horizontal="center" vertical="center" wrapText="1"/>
    </xf>
    <xf numFmtId="199" fontId="12" fillId="11" borderId="2" xfId="3" applyNumberFormat="1" applyFont="1" applyFill="1" applyBorder="1" applyAlignment="1">
      <alignment horizontal="center" vertical="center" wrapText="1"/>
    </xf>
    <xf numFmtId="199" fontId="12" fillId="11" borderId="3" xfId="3" applyNumberFormat="1" applyFont="1" applyFill="1" applyBorder="1" applyAlignment="1">
      <alignment horizontal="center" vertical="center" wrapText="1"/>
    </xf>
    <xf numFmtId="0" fontId="34" fillId="19" borderId="5" xfId="1" applyFont="1" applyFill="1" applyBorder="1" applyAlignment="1">
      <alignment horizontal="center" vertical="center"/>
    </xf>
    <xf numFmtId="0" fontId="34" fillId="19" borderId="6" xfId="1" applyFont="1" applyFill="1" applyBorder="1" applyAlignment="1">
      <alignment horizontal="center" vertical="center"/>
    </xf>
    <xf numFmtId="0" fontId="34" fillId="19" borderId="7" xfId="1" applyFont="1" applyFill="1" applyBorder="1" applyAlignment="1">
      <alignment horizontal="center" vertical="center"/>
    </xf>
    <xf numFmtId="0" fontId="13" fillId="19" borderId="5" xfId="1" applyFont="1" applyFill="1" applyBorder="1" applyAlignment="1">
      <alignment horizontal="center" vertical="center"/>
    </xf>
    <xf numFmtId="0" fontId="13" fillId="19" borderId="6" xfId="1" applyFont="1" applyFill="1" applyBorder="1" applyAlignment="1">
      <alignment horizontal="center" vertical="center"/>
    </xf>
    <xf numFmtId="0" fontId="13" fillId="19" borderId="7" xfId="1" applyFont="1" applyFill="1" applyBorder="1" applyAlignment="1">
      <alignment horizontal="center" vertical="center"/>
    </xf>
    <xf numFmtId="185" fontId="27" fillId="12" borderId="2" xfId="5" applyNumberFormat="1" applyFont="1" applyFill="1" applyBorder="1" applyAlignment="1">
      <alignment horizontal="left" vertical="center" wrapText="1"/>
    </xf>
    <xf numFmtId="185" fontId="27" fillId="12" borderId="3" xfId="5" applyNumberFormat="1" applyFont="1" applyFill="1" applyBorder="1" applyAlignment="1">
      <alignment horizontal="left" vertical="center" wrapText="1"/>
    </xf>
    <xf numFmtId="186" fontId="27" fillId="12" borderId="2" xfId="5" applyNumberFormat="1" applyFont="1" applyFill="1" applyBorder="1" applyAlignment="1">
      <alignment horizontal="left" vertical="center" wrapText="1"/>
    </xf>
    <xf numFmtId="186" fontId="27" fillId="12" borderId="3" xfId="5" applyNumberFormat="1" applyFont="1" applyFill="1" applyBorder="1" applyAlignment="1">
      <alignment horizontal="left" vertical="center" wrapText="1"/>
    </xf>
    <xf numFmtId="187" fontId="27" fillId="12" borderId="2" xfId="5" applyNumberFormat="1" applyFont="1" applyFill="1" applyBorder="1" applyAlignment="1">
      <alignment horizontal="left" vertical="center" wrapText="1"/>
    </xf>
    <xf numFmtId="187" fontId="27" fillId="12" borderId="3" xfId="5" applyNumberFormat="1" applyFont="1" applyFill="1" applyBorder="1" applyAlignment="1">
      <alignment horizontal="left" vertical="center" wrapText="1"/>
    </xf>
    <xf numFmtId="0" fontId="28" fillId="12" borderId="8" xfId="5" applyFont="1" applyFill="1" applyBorder="1" applyAlignment="1">
      <alignment horizontal="left" vertical="center" wrapText="1"/>
    </xf>
    <xf numFmtId="0" fontId="28" fillId="12" borderId="9" xfId="5" applyFont="1" applyFill="1" applyBorder="1" applyAlignment="1">
      <alignment horizontal="left" vertical="center" wrapText="1"/>
    </xf>
    <xf numFmtId="0" fontId="28" fillId="12" borderId="10" xfId="5" applyFont="1" applyFill="1" applyBorder="1" applyAlignment="1">
      <alignment horizontal="left" vertical="center" wrapText="1"/>
    </xf>
    <xf numFmtId="0" fontId="28" fillId="12" borderId="14" xfId="5" applyFont="1" applyFill="1" applyBorder="1" applyAlignment="1">
      <alignment horizontal="left" vertical="center" wrapText="1"/>
    </xf>
    <xf numFmtId="0" fontId="28" fillId="12" borderId="0" xfId="5" applyFont="1" applyFill="1" applyBorder="1" applyAlignment="1">
      <alignment horizontal="left" vertical="center" wrapText="1"/>
    </xf>
    <xf numFmtId="0" fontId="28" fillId="12" borderId="15" xfId="5" applyFont="1" applyFill="1" applyBorder="1" applyAlignment="1">
      <alignment horizontal="left" vertical="center" wrapText="1"/>
    </xf>
    <xf numFmtId="0" fontId="28" fillId="12" borderId="11" xfId="5" applyFont="1" applyFill="1" applyBorder="1" applyAlignment="1">
      <alignment horizontal="left" vertical="center" wrapText="1"/>
    </xf>
    <xf numFmtId="0" fontId="28" fillId="12" borderId="12" xfId="5" applyFont="1" applyFill="1" applyBorder="1" applyAlignment="1">
      <alignment horizontal="left" vertical="center" wrapText="1"/>
    </xf>
    <xf numFmtId="0" fontId="28" fillId="12" borderId="13" xfId="5" applyFont="1" applyFill="1" applyBorder="1" applyAlignment="1">
      <alignment horizontal="left" vertical="center" wrapText="1"/>
    </xf>
    <xf numFmtId="200" fontId="27" fillId="12" borderId="2" xfId="5" applyNumberFormat="1" applyFont="1" applyFill="1" applyBorder="1" applyAlignment="1">
      <alignment horizontal="left" vertical="center" wrapText="1"/>
    </xf>
    <xf numFmtId="200" fontId="27" fillId="12" borderId="3" xfId="5" applyNumberFormat="1" applyFont="1" applyFill="1" applyBorder="1" applyAlignment="1">
      <alignment horizontal="left" vertical="center" wrapText="1"/>
    </xf>
    <xf numFmtId="201" fontId="27" fillId="12" borderId="2" xfId="5" applyNumberFormat="1" applyFont="1" applyFill="1" applyBorder="1" applyAlignment="1">
      <alignment horizontal="left" vertical="center" wrapText="1"/>
    </xf>
    <xf numFmtId="201" fontId="27" fillId="12" borderId="3" xfId="5" applyNumberFormat="1" applyFont="1" applyFill="1" applyBorder="1" applyAlignment="1">
      <alignment horizontal="left" vertical="center" wrapText="1"/>
    </xf>
    <xf numFmtId="181" fontId="27" fillId="12" borderId="2" xfId="5" applyNumberFormat="1" applyFont="1" applyFill="1" applyBorder="1" applyAlignment="1">
      <alignment horizontal="left" vertical="center" wrapText="1"/>
    </xf>
    <xf numFmtId="181" fontId="27" fillId="12" borderId="3" xfId="5" applyNumberFormat="1" applyFont="1" applyFill="1" applyBorder="1" applyAlignment="1">
      <alignment horizontal="left" vertical="center" wrapText="1"/>
    </xf>
    <xf numFmtId="0" fontId="27" fillId="12" borderId="2" xfId="5" applyFont="1" applyFill="1" applyBorder="1" applyAlignment="1">
      <alignment horizontal="left" vertical="center" wrapText="1"/>
    </xf>
    <xf numFmtId="0" fontId="27" fillId="12" borderId="3" xfId="5" applyFont="1" applyFill="1" applyBorder="1" applyAlignment="1">
      <alignment horizontal="left" vertical="center" wrapText="1"/>
    </xf>
    <xf numFmtId="182" fontId="27" fillId="12" borderId="2" xfId="5" applyNumberFormat="1" applyFont="1" applyFill="1" applyBorder="1" applyAlignment="1">
      <alignment horizontal="left" vertical="center" wrapText="1"/>
    </xf>
    <xf numFmtId="182" fontId="27" fillId="12" borderId="3" xfId="5" applyNumberFormat="1" applyFont="1" applyFill="1" applyBorder="1" applyAlignment="1">
      <alignment horizontal="left" vertical="center" wrapText="1"/>
    </xf>
    <xf numFmtId="183" fontId="27" fillId="12" borderId="2" xfId="5" applyNumberFormat="1" applyFont="1" applyFill="1" applyBorder="1" applyAlignment="1">
      <alignment horizontal="left" vertical="center" wrapText="1"/>
    </xf>
    <xf numFmtId="183" fontId="27" fillId="12" borderId="3" xfId="5" applyNumberFormat="1" applyFont="1" applyFill="1" applyBorder="1" applyAlignment="1">
      <alignment horizontal="left" vertical="center" wrapText="1"/>
    </xf>
    <xf numFmtId="184" fontId="27" fillId="12" borderId="2" xfId="5" applyNumberFormat="1" applyFont="1" applyFill="1" applyBorder="1" applyAlignment="1">
      <alignment horizontal="left" vertical="center" wrapText="1"/>
    </xf>
    <xf numFmtId="184" fontId="27" fillId="12" borderId="3" xfId="5" applyNumberFormat="1" applyFont="1" applyFill="1" applyBorder="1" applyAlignment="1">
      <alignment horizontal="left" vertical="center" wrapText="1"/>
    </xf>
    <xf numFmtId="0" fontId="12" fillId="20" borderId="8" xfId="8" applyFont="1" applyFill="1" applyBorder="1" applyAlignment="1">
      <alignment horizontal="left" vertical="center" wrapText="1"/>
    </xf>
    <xf numFmtId="0" fontId="12" fillId="20" borderId="9" xfId="8" applyFont="1" applyFill="1" applyBorder="1" applyAlignment="1">
      <alignment horizontal="left" vertical="center" wrapText="1"/>
    </xf>
    <xf numFmtId="0" fontId="12" fillId="20" borderId="10" xfId="8" applyFont="1" applyFill="1" applyBorder="1" applyAlignment="1">
      <alignment horizontal="left" vertical="center" wrapText="1"/>
    </xf>
    <xf numFmtId="0" fontId="12" fillId="20" borderId="14" xfId="8" applyFont="1" applyFill="1" applyBorder="1" applyAlignment="1">
      <alignment horizontal="left" vertical="center" wrapText="1"/>
    </xf>
    <xf numFmtId="0" fontId="12" fillId="20" borderId="0" xfId="8" applyFont="1" applyFill="1" applyBorder="1" applyAlignment="1">
      <alignment horizontal="left" vertical="center" wrapText="1"/>
    </xf>
    <xf numFmtId="0" fontId="12" fillId="20" borderId="15" xfId="8" applyFont="1" applyFill="1" applyBorder="1" applyAlignment="1">
      <alignment horizontal="left" vertical="center" wrapText="1"/>
    </xf>
    <xf numFmtId="0" fontId="12" fillId="20" borderId="11" xfId="8" applyFont="1" applyFill="1" applyBorder="1" applyAlignment="1">
      <alignment horizontal="left" vertical="center" wrapText="1"/>
    </xf>
    <xf numFmtId="0" fontId="12" fillId="20" borderId="12" xfId="8" applyFont="1" applyFill="1" applyBorder="1" applyAlignment="1">
      <alignment horizontal="left" vertical="center" wrapText="1"/>
    </xf>
    <xf numFmtId="0" fontId="12" fillId="20" borderId="13" xfId="8" applyFont="1" applyFill="1" applyBorder="1" applyAlignment="1">
      <alignment horizontal="left" vertical="center" wrapText="1"/>
    </xf>
    <xf numFmtId="202" fontId="12" fillId="20" borderId="1" xfId="8" applyNumberFormat="1" applyFont="1" applyFill="1" applyBorder="1" applyAlignment="1">
      <alignment horizontal="center" vertical="center" wrapText="1"/>
    </xf>
    <xf numFmtId="202" fontId="12" fillId="20" borderId="2" xfId="8" applyNumberFormat="1" applyFont="1" applyFill="1" applyBorder="1" applyAlignment="1">
      <alignment horizontal="center" vertical="center" wrapText="1"/>
    </xf>
    <xf numFmtId="202" fontId="12" fillId="20" borderId="3" xfId="8" applyNumberFormat="1" applyFont="1" applyFill="1" applyBorder="1" applyAlignment="1">
      <alignment horizontal="center" vertical="center" wrapText="1"/>
    </xf>
    <xf numFmtId="191" fontId="12" fillId="20" borderId="1" xfId="8" applyNumberFormat="1" applyFont="1" applyFill="1" applyBorder="1" applyAlignment="1">
      <alignment horizontal="center" vertical="center" wrapText="1"/>
    </xf>
    <xf numFmtId="191" fontId="12" fillId="20" borderId="2" xfId="8" applyNumberFormat="1" applyFont="1" applyFill="1" applyBorder="1" applyAlignment="1">
      <alignment horizontal="center" vertical="center" wrapText="1"/>
    </xf>
    <xf numFmtId="191" fontId="12" fillId="20" borderId="3" xfId="8" applyNumberFormat="1" applyFont="1" applyFill="1" applyBorder="1" applyAlignment="1">
      <alignment horizontal="center" vertical="center" wrapText="1"/>
    </xf>
    <xf numFmtId="201" fontId="27" fillId="19" borderId="2" xfId="7" applyNumberFormat="1" applyFont="1" applyFill="1" applyBorder="1" applyAlignment="1">
      <alignment horizontal="left" vertical="center" wrapText="1"/>
    </xf>
    <xf numFmtId="201" fontId="27" fillId="19" borderId="3" xfId="7" applyNumberFormat="1" applyFont="1" applyFill="1" applyBorder="1" applyAlignment="1">
      <alignment horizontal="left" vertical="center" wrapText="1"/>
    </xf>
    <xf numFmtId="184" fontId="27" fillId="19" borderId="2" xfId="7" applyNumberFormat="1" applyFont="1" applyFill="1" applyBorder="1" applyAlignment="1">
      <alignment horizontal="left" vertical="center" wrapText="1"/>
    </xf>
    <xf numFmtId="184" fontId="27" fillId="19" borderId="3" xfId="7" applyNumberFormat="1" applyFont="1" applyFill="1" applyBorder="1" applyAlignment="1">
      <alignment horizontal="left" vertical="center" wrapText="1"/>
    </xf>
    <xf numFmtId="200" fontId="27" fillId="19" borderId="2" xfId="7" applyNumberFormat="1" applyFont="1" applyFill="1" applyBorder="1" applyAlignment="1">
      <alignment horizontal="left" vertical="center" wrapText="1"/>
    </xf>
    <xf numFmtId="200" fontId="27" fillId="19" borderId="3" xfId="7" applyNumberFormat="1" applyFont="1" applyFill="1" applyBorder="1" applyAlignment="1">
      <alignment horizontal="left" vertical="center" wrapText="1"/>
    </xf>
    <xf numFmtId="49" fontId="28" fillId="19" borderId="8" xfId="7" applyNumberFormat="1" applyFont="1" applyFill="1" applyBorder="1" applyAlignment="1">
      <alignment vertical="center" wrapText="1"/>
    </xf>
    <xf numFmtId="49" fontId="28" fillId="19" borderId="9" xfId="7" applyNumberFormat="1" applyFont="1" applyFill="1" applyBorder="1" applyAlignment="1">
      <alignment vertical="center" wrapText="1"/>
    </xf>
    <xf numFmtId="49" fontId="28" fillId="19" borderId="10" xfId="7" applyNumberFormat="1" applyFont="1" applyFill="1" applyBorder="1" applyAlignment="1">
      <alignment vertical="center" wrapText="1"/>
    </xf>
    <xf numFmtId="49" fontId="28" fillId="19" borderId="14" xfId="7" applyNumberFormat="1" applyFont="1" applyFill="1" applyBorder="1" applyAlignment="1">
      <alignment vertical="center" wrapText="1"/>
    </xf>
    <xf numFmtId="49" fontId="28" fillId="19" borderId="0" xfId="7" applyNumberFormat="1" applyFont="1" applyFill="1" applyBorder="1" applyAlignment="1">
      <alignment vertical="center" wrapText="1"/>
    </xf>
    <xf numFmtId="49" fontId="28" fillId="19" borderId="15" xfId="7" applyNumberFormat="1" applyFont="1" applyFill="1" applyBorder="1" applyAlignment="1">
      <alignment vertical="center" wrapText="1"/>
    </xf>
    <xf numFmtId="49" fontId="28" fillId="19" borderId="11" xfId="7" applyNumberFormat="1" applyFont="1" applyFill="1" applyBorder="1" applyAlignment="1">
      <alignment vertical="center" wrapText="1"/>
    </xf>
    <xf numFmtId="49" fontId="28" fillId="19" borderId="12" xfId="7" applyNumberFormat="1" applyFont="1" applyFill="1" applyBorder="1" applyAlignment="1">
      <alignment vertical="center" wrapText="1"/>
    </xf>
    <xf numFmtId="49" fontId="28" fillId="19" borderId="13" xfId="7" applyNumberFormat="1" applyFont="1" applyFill="1" applyBorder="1" applyAlignment="1">
      <alignment vertical="center" wrapText="1"/>
    </xf>
    <xf numFmtId="181" fontId="27" fillId="19" borderId="2" xfId="7" applyNumberFormat="1" applyFont="1" applyFill="1" applyBorder="1" applyAlignment="1">
      <alignment horizontal="left" vertical="center" wrapText="1"/>
    </xf>
    <xf numFmtId="181" fontId="27" fillId="19" borderId="3" xfId="7" applyNumberFormat="1" applyFont="1" applyFill="1" applyBorder="1" applyAlignment="1">
      <alignment horizontal="left" vertical="center" wrapText="1"/>
    </xf>
    <xf numFmtId="185" fontId="27" fillId="19" borderId="2" xfId="5" applyNumberFormat="1" applyFont="1" applyFill="1" applyBorder="1" applyAlignment="1">
      <alignment horizontal="left" vertical="center" wrapText="1"/>
    </xf>
    <xf numFmtId="185" fontId="27" fillId="19" borderId="3" xfId="5" applyNumberFormat="1" applyFont="1" applyFill="1" applyBorder="1" applyAlignment="1">
      <alignment horizontal="left" vertical="center" wrapText="1"/>
    </xf>
    <xf numFmtId="187" fontId="27" fillId="19" borderId="2" xfId="5" applyNumberFormat="1" applyFont="1" applyFill="1" applyBorder="1" applyAlignment="1">
      <alignment horizontal="left" vertical="center" wrapText="1"/>
    </xf>
    <xf numFmtId="187" fontId="27" fillId="19" borderId="3" xfId="5" applyNumberFormat="1" applyFont="1" applyFill="1" applyBorder="1" applyAlignment="1">
      <alignment horizontal="left" vertical="center" wrapText="1"/>
    </xf>
    <xf numFmtId="0" fontId="12" fillId="21" borderId="8" xfId="9" applyFont="1" applyFill="1" applyBorder="1" applyAlignment="1">
      <alignment horizontal="left" vertical="center" wrapText="1"/>
    </xf>
    <xf numFmtId="0" fontId="12" fillId="21" borderId="9" xfId="9" applyFont="1" applyFill="1" applyBorder="1" applyAlignment="1">
      <alignment horizontal="left" vertical="center" wrapText="1"/>
    </xf>
    <xf numFmtId="0" fontId="12" fillId="21" borderId="10" xfId="9" applyFont="1" applyFill="1" applyBorder="1" applyAlignment="1">
      <alignment horizontal="left" vertical="center" wrapText="1"/>
    </xf>
    <xf numFmtId="0" fontId="12" fillId="21" borderId="14" xfId="9" applyFont="1" applyFill="1" applyBorder="1" applyAlignment="1">
      <alignment horizontal="left" vertical="center" wrapText="1"/>
    </xf>
    <xf numFmtId="0" fontId="12" fillId="21" borderId="0" xfId="9" applyFont="1" applyFill="1" applyBorder="1" applyAlignment="1">
      <alignment horizontal="left" vertical="center" wrapText="1"/>
    </xf>
    <xf numFmtId="0" fontId="12" fillId="21" borderId="15" xfId="9" applyFont="1" applyFill="1" applyBorder="1" applyAlignment="1">
      <alignment horizontal="left" vertical="center" wrapText="1"/>
    </xf>
    <xf numFmtId="0" fontId="12" fillId="21" borderId="11" xfId="9" applyFont="1" applyFill="1" applyBorder="1" applyAlignment="1">
      <alignment horizontal="left" vertical="center" wrapText="1"/>
    </xf>
    <xf numFmtId="0" fontId="12" fillId="21" borderId="12" xfId="9" applyFont="1" applyFill="1" applyBorder="1" applyAlignment="1">
      <alignment horizontal="left" vertical="center" wrapText="1"/>
    </xf>
    <xf numFmtId="0" fontId="12" fillId="21" borderId="13" xfId="9" applyFont="1" applyFill="1" applyBorder="1" applyAlignment="1">
      <alignment horizontal="left" vertical="center" wrapText="1"/>
    </xf>
    <xf numFmtId="202" fontId="12" fillId="21" borderId="1" xfId="9" applyNumberFormat="1" applyFont="1" applyFill="1" applyBorder="1" applyAlignment="1">
      <alignment horizontal="center" vertical="center" wrapText="1"/>
    </xf>
    <xf numFmtId="202" fontId="12" fillId="21" borderId="2" xfId="9" applyNumberFormat="1" applyFont="1" applyFill="1" applyBorder="1" applyAlignment="1">
      <alignment horizontal="center" vertical="center" wrapText="1"/>
    </xf>
    <xf numFmtId="202" fontId="12" fillId="21" borderId="3" xfId="9" applyNumberFormat="1" applyFont="1" applyFill="1" applyBorder="1" applyAlignment="1">
      <alignment horizontal="center" vertical="center" wrapText="1"/>
    </xf>
    <xf numFmtId="191" fontId="12" fillId="21" borderId="1" xfId="9" applyNumberFormat="1" applyFont="1" applyFill="1" applyBorder="1" applyAlignment="1">
      <alignment horizontal="center" vertical="center" wrapText="1"/>
    </xf>
    <xf numFmtId="191" fontId="12" fillId="21" borderId="2" xfId="9" applyNumberFormat="1" applyFont="1" applyFill="1" applyBorder="1" applyAlignment="1">
      <alignment horizontal="center" vertical="center" wrapText="1"/>
    </xf>
    <xf numFmtId="191" fontId="12" fillId="21" borderId="3" xfId="9" applyNumberFormat="1" applyFont="1" applyFill="1" applyBorder="1" applyAlignment="1">
      <alignment horizontal="center" vertical="center" wrapText="1"/>
    </xf>
    <xf numFmtId="201" fontId="27" fillId="22" borderId="2" xfId="7" applyNumberFormat="1" applyFont="1" applyFill="1" applyBorder="1" applyAlignment="1">
      <alignment horizontal="left" vertical="center" wrapText="1"/>
    </xf>
    <xf numFmtId="201" fontId="27" fillId="22" borderId="3" xfId="7" applyNumberFormat="1" applyFont="1" applyFill="1" applyBorder="1" applyAlignment="1">
      <alignment horizontal="left" vertical="center" wrapText="1"/>
    </xf>
    <xf numFmtId="184" fontId="27" fillId="22" borderId="2" xfId="6" applyNumberFormat="1" applyFont="1" applyFill="1" applyBorder="1" applyAlignment="1">
      <alignment horizontal="left" vertical="center" wrapText="1"/>
    </xf>
    <xf numFmtId="184" fontId="27" fillId="22" borderId="3" xfId="6" applyNumberFormat="1" applyFont="1" applyFill="1" applyBorder="1" applyAlignment="1">
      <alignment horizontal="left" vertical="center" wrapText="1"/>
    </xf>
    <xf numFmtId="200" fontId="27" fillId="22" borderId="2" xfId="7" applyNumberFormat="1" applyFont="1" applyFill="1" applyBorder="1" applyAlignment="1">
      <alignment horizontal="left" vertical="center" wrapText="1"/>
    </xf>
    <xf numFmtId="200" fontId="27" fillId="22" borderId="3" xfId="7" applyNumberFormat="1" applyFont="1" applyFill="1" applyBorder="1" applyAlignment="1">
      <alignment horizontal="left" vertical="center" wrapText="1"/>
    </xf>
    <xf numFmtId="49" fontId="28" fillId="22" borderId="8" xfId="6" applyNumberFormat="1" applyFont="1" applyFill="1" applyBorder="1" applyAlignment="1">
      <alignment horizontal="left" vertical="center" wrapText="1"/>
    </xf>
    <xf numFmtId="49" fontId="28" fillId="22" borderId="9" xfId="6" applyNumberFormat="1" applyFont="1" applyFill="1" applyBorder="1" applyAlignment="1">
      <alignment horizontal="left" vertical="center" wrapText="1"/>
    </xf>
    <xf numFmtId="49" fontId="28" fillId="22" borderId="10" xfId="6" applyNumberFormat="1" applyFont="1" applyFill="1" applyBorder="1" applyAlignment="1">
      <alignment horizontal="left" vertical="center" wrapText="1"/>
    </xf>
    <xf numFmtId="49" fontId="28" fillId="22" borderId="14" xfId="6" applyNumberFormat="1" applyFont="1" applyFill="1" applyBorder="1" applyAlignment="1">
      <alignment horizontal="left" vertical="center" wrapText="1"/>
    </xf>
    <xf numFmtId="49" fontId="28" fillId="22" borderId="0" xfId="6" applyNumberFormat="1" applyFont="1" applyFill="1" applyBorder="1" applyAlignment="1">
      <alignment horizontal="left" vertical="center" wrapText="1"/>
    </xf>
    <xf numFmtId="49" fontId="28" fillId="22" borderId="15" xfId="6" applyNumberFormat="1" applyFont="1" applyFill="1" applyBorder="1" applyAlignment="1">
      <alignment horizontal="left" vertical="center" wrapText="1"/>
    </xf>
    <xf numFmtId="49" fontId="28" fillId="22" borderId="11" xfId="6" applyNumberFormat="1" applyFont="1" applyFill="1" applyBorder="1" applyAlignment="1">
      <alignment horizontal="left" vertical="center" wrapText="1"/>
    </xf>
    <xf numFmtId="49" fontId="28" fillId="22" borderId="12" xfId="6" applyNumberFormat="1" applyFont="1" applyFill="1" applyBorder="1" applyAlignment="1">
      <alignment horizontal="left" vertical="center" wrapText="1"/>
    </xf>
    <xf numFmtId="49" fontId="28" fillId="22" borderId="13" xfId="6" applyNumberFormat="1" applyFont="1" applyFill="1" applyBorder="1" applyAlignment="1">
      <alignment horizontal="left" vertical="center" wrapText="1"/>
    </xf>
    <xf numFmtId="181" fontId="27" fillId="22" borderId="2" xfId="7" applyNumberFormat="1" applyFont="1" applyFill="1" applyBorder="1" applyAlignment="1">
      <alignment horizontal="left" vertical="center" wrapText="1"/>
    </xf>
    <xf numFmtId="181" fontId="27" fillId="22" borderId="3" xfId="7" applyNumberFormat="1" applyFont="1" applyFill="1" applyBorder="1" applyAlignment="1">
      <alignment horizontal="left" vertical="center" wrapText="1"/>
    </xf>
    <xf numFmtId="185" fontId="27" fillId="22" borderId="2" xfId="5" applyNumberFormat="1" applyFont="1" applyFill="1" applyBorder="1" applyAlignment="1">
      <alignment horizontal="left" vertical="center" wrapText="1"/>
    </xf>
    <xf numFmtId="185" fontId="27" fillId="22" borderId="3" xfId="5" applyNumberFormat="1" applyFont="1" applyFill="1" applyBorder="1" applyAlignment="1">
      <alignment horizontal="left" vertical="center" wrapText="1"/>
    </xf>
    <xf numFmtId="187" fontId="27" fillId="22" borderId="2" xfId="5" applyNumberFormat="1" applyFont="1" applyFill="1" applyBorder="1" applyAlignment="1">
      <alignment horizontal="left" vertical="center" wrapText="1"/>
    </xf>
    <xf numFmtId="187" fontId="27" fillId="22" borderId="3" xfId="5" applyNumberFormat="1" applyFont="1" applyFill="1" applyBorder="1" applyAlignment="1">
      <alignment horizontal="left" vertical="center" wrapText="1"/>
    </xf>
    <xf numFmtId="0" fontId="23" fillId="12" borderId="8" xfId="5" applyFont="1" applyFill="1" applyBorder="1" applyAlignment="1">
      <alignment horizontal="left" wrapText="1"/>
    </xf>
    <xf numFmtId="0" fontId="23" fillId="12" borderId="9" xfId="5" applyFont="1" applyFill="1" applyBorder="1" applyAlignment="1">
      <alignment horizontal="left" wrapText="1"/>
    </xf>
    <xf numFmtId="0" fontId="23" fillId="12" borderId="10" xfId="5" applyFont="1" applyFill="1" applyBorder="1" applyAlignment="1">
      <alignment horizontal="left" wrapText="1"/>
    </xf>
    <xf numFmtId="0" fontId="23" fillId="12" borderId="14" xfId="5" applyFont="1" applyFill="1" applyBorder="1" applyAlignment="1">
      <alignment horizontal="left" wrapText="1"/>
    </xf>
    <xf numFmtId="0" fontId="23" fillId="12" borderId="0" xfId="5" applyFont="1" applyFill="1" applyBorder="1" applyAlignment="1">
      <alignment horizontal="left" wrapText="1"/>
    </xf>
    <xf numFmtId="0" fontId="23" fillId="12" borderId="15" xfId="5" applyFont="1" applyFill="1" applyBorder="1" applyAlignment="1">
      <alignment horizontal="left" wrapText="1"/>
    </xf>
    <xf numFmtId="203" fontId="12" fillId="11" borderId="1" xfId="3" applyNumberFormat="1" applyFont="1" applyFill="1" applyBorder="1" applyAlignment="1">
      <alignment horizontal="center" vertical="center" wrapText="1"/>
    </xf>
    <xf numFmtId="203" fontId="12" fillId="11" borderId="2" xfId="3" applyNumberFormat="1" applyFont="1" applyFill="1" applyBorder="1" applyAlignment="1">
      <alignment horizontal="center" vertical="center" wrapText="1"/>
    </xf>
    <xf numFmtId="203" fontId="12" fillId="11" borderId="3" xfId="3" applyNumberFormat="1" applyFont="1" applyFill="1" applyBorder="1" applyAlignment="1">
      <alignment horizontal="center" vertical="center" wrapText="1"/>
    </xf>
    <xf numFmtId="204" fontId="12" fillId="11" borderId="1" xfId="3" applyNumberFormat="1" applyFont="1" applyFill="1" applyBorder="1" applyAlignment="1">
      <alignment horizontal="center" vertical="center" wrapText="1"/>
    </xf>
    <xf numFmtId="204" fontId="12" fillId="11" borderId="2" xfId="3" applyNumberFormat="1" applyFont="1" applyFill="1" applyBorder="1" applyAlignment="1">
      <alignment horizontal="center" vertical="center" wrapText="1"/>
    </xf>
    <xf numFmtId="204" fontId="12" fillId="11" borderId="3" xfId="3" applyNumberFormat="1" applyFont="1" applyFill="1" applyBorder="1" applyAlignment="1">
      <alignment horizontal="center" vertical="center" wrapText="1"/>
    </xf>
    <xf numFmtId="49" fontId="30" fillId="23" borderId="8" xfId="5" applyNumberFormat="1" applyFont="1" applyFill="1" applyBorder="1" applyAlignment="1">
      <alignment horizontal="center" vertical="center" wrapText="1"/>
    </xf>
    <xf numFmtId="49" fontId="30" fillId="23" borderId="9" xfId="5" applyNumberFormat="1" applyFont="1" applyFill="1" applyBorder="1" applyAlignment="1">
      <alignment horizontal="center" vertical="center" wrapText="1"/>
    </xf>
    <xf numFmtId="49" fontId="30" fillId="23" borderId="10" xfId="5" applyNumberFormat="1" applyFont="1" applyFill="1" applyBorder="1" applyAlignment="1">
      <alignment horizontal="center" vertical="center" wrapText="1"/>
    </xf>
    <xf numFmtId="49" fontId="30" fillId="23" borderId="11" xfId="5" applyNumberFormat="1" applyFont="1" applyFill="1" applyBorder="1" applyAlignment="1">
      <alignment horizontal="center" vertical="center" wrapText="1"/>
    </xf>
    <xf numFmtId="49" fontId="30" fillId="23" borderId="12" xfId="5" applyNumberFormat="1" applyFont="1" applyFill="1" applyBorder="1" applyAlignment="1">
      <alignment horizontal="center" vertical="center" wrapText="1"/>
    </xf>
    <xf numFmtId="49" fontId="30" fillId="23" borderId="13" xfId="5" applyNumberFormat="1" applyFont="1" applyFill="1" applyBorder="1" applyAlignment="1">
      <alignment horizontal="center" vertical="center" wrapText="1"/>
    </xf>
    <xf numFmtId="184" fontId="27" fillId="23" borderId="2" xfId="5" applyNumberFormat="1" applyFont="1" applyFill="1" applyBorder="1" applyAlignment="1">
      <alignment horizontal="left" vertical="center" wrapText="1"/>
    </xf>
    <xf numFmtId="184" fontId="27" fillId="23" borderId="3" xfId="5" applyNumberFormat="1" applyFont="1" applyFill="1" applyBorder="1" applyAlignment="1">
      <alignment horizontal="left" vertical="center" wrapText="1"/>
    </xf>
    <xf numFmtId="0" fontId="28" fillId="12" borderId="14" xfId="1" applyFont="1" applyFill="1" applyBorder="1" applyAlignment="1">
      <alignment horizontal="left" vertical="top" wrapText="1"/>
    </xf>
    <xf numFmtId="0" fontId="28" fillId="12" borderId="0" xfId="1" applyFont="1" applyFill="1" applyAlignment="1">
      <alignment horizontal="left" vertical="top" wrapText="1"/>
    </xf>
    <xf numFmtId="0" fontId="28" fillId="12" borderId="15" xfId="1" applyFont="1" applyFill="1" applyBorder="1" applyAlignment="1">
      <alignment horizontal="left" vertical="top" wrapText="1"/>
    </xf>
    <xf numFmtId="0" fontId="28" fillId="12" borderId="11" xfId="1" applyFont="1" applyFill="1" applyBorder="1" applyAlignment="1">
      <alignment horizontal="left" vertical="top" wrapText="1"/>
    </xf>
    <xf numFmtId="0" fontId="28" fillId="12" borderId="12" xfId="1" applyFont="1" applyFill="1" applyBorder="1" applyAlignment="1">
      <alignment horizontal="left" vertical="top" wrapText="1"/>
    </xf>
    <xf numFmtId="0" fontId="28" fillId="12" borderId="13" xfId="1" applyFont="1" applyFill="1" applyBorder="1" applyAlignment="1">
      <alignment horizontal="left" vertical="top" wrapText="1"/>
    </xf>
    <xf numFmtId="186" fontId="27" fillId="23" borderId="9" xfId="5" applyNumberFormat="1" applyFont="1" applyFill="1" applyBorder="1" applyAlignment="1">
      <alignment horizontal="left" vertical="center" wrapText="1"/>
    </xf>
    <xf numFmtId="186" fontId="27" fillId="23" borderId="10" xfId="5" applyNumberFormat="1" applyFont="1" applyFill="1" applyBorder="1" applyAlignment="1">
      <alignment horizontal="left" vertical="center" wrapText="1"/>
    </xf>
    <xf numFmtId="49" fontId="27" fillId="23" borderId="1" xfId="5" applyNumberFormat="1" applyFont="1" applyFill="1" applyBorder="1" applyAlignment="1">
      <alignment horizontal="left" vertical="center" wrapText="1"/>
    </xf>
    <xf numFmtId="49" fontId="27" fillId="23" borderId="2" xfId="5" applyNumberFormat="1" applyFont="1" applyFill="1" applyBorder="1" applyAlignment="1">
      <alignment horizontal="left" vertical="center" wrapText="1"/>
    </xf>
    <xf numFmtId="49" fontId="27" fillId="23" borderId="3" xfId="5" applyNumberFormat="1" applyFont="1" applyFill="1" applyBorder="1" applyAlignment="1">
      <alignment horizontal="left" vertical="center" wrapText="1"/>
    </xf>
    <xf numFmtId="186" fontId="27" fillId="23" borderId="0" xfId="5" applyNumberFormat="1" applyFont="1" applyFill="1" applyBorder="1" applyAlignment="1">
      <alignment vertical="center" wrapText="1"/>
    </xf>
    <xf numFmtId="186" fontId="27" fillId="23" borderId="15" xfId="5" applyNumberFormat="1" applyFont="1" applyFill="1" applyBorder="1" applyAlignment="1">
      <alignment vertical="center" wrapText="1"/>
    </xf>
    <xf numFmtId="0" fontId="12" fillId="17" borderId="1" xfId="1" applyFont="1" applyFill="1" applyBorder="1" applyAlignment="1">
      <alignment horizontal="center" vertical="center"/>
    </xf>
    <xf numFmtId="0" fontId="12" fillId="17" borderId="2" xfId="1" applyFont="1" applyFill="1" applyBorder="1" applyAlignment="1">
      <alignment horizontal="center" vertical="center"/>
    </xf>
    <xf numFmtId="0" fontId="12" fillId="17" borderId="3" xfId="1" applyFont="1" applyFill="1" applyBorder="1" applyAlignment="1">
      <alignment horizontal="center" vertical="center"/>
    </xf>
    <xf numFmtId="0" fontId="13" fillId="17" borderId="1" xfId="1" applyFont="1" applyFill="1" applyBorder="1" applyAlignment="1">
      <alignment horizontal="left" vertical="center"/>
    </xf>
    <xf numFmtId="0" fontId="13" fillId="17" borderId="2" xfId="1" applyFont="1" applyFill="1" applyBorder="1" applyAlignment="1">
      <alignment horizontal="left" vertical="center"/>
    </xf>
    <xf numFmtId="0" fontId="13" fillId="17" borderId="3" xfId="1" applyFont="1" applyFill="1" applyBorder="1" applyAlignment="1">
      <alignment horizontal="left" vertical="center"/>
    </xf>
    <xf numFmtId="0" fontId="35" fillId="25" borderId="1" xfId="1" applyFont="1" applyFill="1" applyBorder="1" applyAlignment="1">
      <alignment horizontal="left" vertical="center"/>
    </xf>
    <xf numFmtId="0" fontId="35" fillId="25" borderId="2" xfId="1" applyFont="1" applyFill="1" applyBorder="1" applyAlignment="1">
      <alignment horizontal="left" vertical="center"/>
    </xf>
    <xf numFmtId="0" fontId="35" fillId="25" borderId="3" xfId="1" applyFont="1" applyFill="1" applyBorder="1" applyAlignment="1">
      <alignment horizontal="left" vertical="center"/>
    </xf>
    <xf numFmtId="186" fontId="27" fillId="23" borderId="12" xfId="5" applyNumberFormat="1" applyFont="1" applyFill="1" applyBorder="1" applyAlignment="1">
      <alignment vertical="center" wrapText="1"/>
    </xf>
    <xf numFmtId="186" fontId="27" fillId="23" borderId="13" xfId="5" applyNumberFormat="1" applyFont="1" applyFill="1" applyBorder="1" applyAlignment="1">
      <alignment vertical="center" wrapText="1"/>
    </xf>
    <xf numFmtId="0" fontId="23" fillId="10" borderId="1" xfId="2" applyFont="1" applyFill="1" applyBorder="1" applyAlignment="1">
      <alignment horizontal="left" vertical="center" wrapText="1"/>
    </xf>
    <xf numFmtId="0" fontId="23" fillId="10" borderId="2" xfId="2" applyFont="1" applyFill="1" applyBorder="1" applyAlignment="1">
      <alignment horizontal="left" vertical="center" wrapText="1"/>
    </xf>
    <xf numFmtId="0" fontId="23" fillId="10" borderId="3" xfId="2" applyFont="1" applyFill="1" applyBorder="1" applyAlignment="1">
      <alignment horizontal="left" vertical="center" wrapText="1"/>
    </xf>
    <xf numFmtId="195" fontId="23" fillId="10" borderId="1" xfId="2" applyNumberFormat="1" applyFont="1" applyFill="1" applyBorder="1" applyAlignment="1">
      <alignment horizontal="center" vertical="center" wrapText="1"/>
    </xf>
    <xf numFmtId="195" fontId="23" fillId="10" borderId="2" xfId="2" applyNumberFormat="1" applyFont="1" applyFill="1" applyBorder="1" applyAlignment="1">
      <alignment horizontal="center" vertical="center" wrapText="1"/>
    </xf>
    <xf numFmtId="195" fontId="23" fillId="10" borderId="3" xfId="2" applyNumberFormat="1" applyFont="1" applyFill="1" applyBorder="1" applyAlignment="1">
      <alignment horizontal="center" vertical="center" wrapText="1"/>
    </xf>
    <xf numFmtId="196" fontId="23" fillId="10" borderId="1" xfId="2" applyNumberFormat="1" applyFont="1" applyFill="1" applyBorder="1" applyAlignment="1">
      <alignment horizontal="center" vertical="center" wrapText="1"/>
    </xf>
    <xf numFmtId="196" fontId="23" fillId="10" borderId="2" xfId="2" applyNumberFormat="1" applyFont="1" applyFill="1" applyBorder="1" applyAlignment="1">
      <alignment horizontal="center" vertical="center" wrapText="1"/>
    </xf>
    <xf numFmtId="196" fontId="23" fillId="10" borderId="3" xfId="2" applyNumberFormat="1" applyFont="1" applyFill="1" applyBorder="1" applyAlignment="1">
      <alignment horizontal="center" vertical="center" wrapText="1"/>
    </xf>
    <xf numFmtId="0" fontId="36" fillId="12" borderId="1" xfId="1" applyFont="1" applyFill="1" applyBorder="1" applyAlignment="1">
      <alignment horizontal="center" vertical="center"/>
    </xf>
    <xf numFmtId="0" fontId="36" fillId="12" borderId="2" xfId="1" applyFont="1" applyFill="1" applyBorder="1" applyAlignment="1">
      <alignment horizontal="center" vertical="center"/>
    </xf>
    <xf numFmtId="0" fontId="36" fillId="12" borderId="3" xfId="1" applyFont="1" applyFill="1" applyBorder="1" applyAlignment="1">
      <alignment horizontal="center" vertical="center"/>
    </xf>
    <xf numFmtId="49" fontId="13" fillId="12" borderId="1" xfId="1" applyNumberFormat="1" applyFont="1" applyFill="1" applyBorder="1" applyAlignment="1">
      <alignment horizontal="left" vertical="center"/>
    </xf>
    <xf numFmtId="49" fontId="13" fillId="12" borderId="2" xfId="1" applyNumberFormat="1" applyFont="1" applyFill="1" applyBorder="1" applyAlignment="1">
      <alignment horizontal="left" vertical="center"/>
    </xf>
    <xf numFmtId="49" fontId="13" fillId="12" borderId="3" xfId="1" applyNumberFormat="1" applyFont="1" applyFill="1" applyBorder="1" applyAlignment="1">
      <alignment horizontal="left" vertical="center"/>
    </xf>
    <xf numFmtId="0" fontId="21" fillId="18" borderId="1" xfId="4" applyFont="1" applyFill="1" applyBorder="1" applyAlignment="1">
      <alignment horizontal="center" vertical="center" wrapText="1"/>
    </xf>
    <xf numFmtId="0" fontId="21" fillId="18" borderId="2" xfId="4" applyFont="1" applyFill="1" applyBorder="1" applyAlignment="1">
      <alignment horizontal="center" vertical="center" wrapText="1"/>
    </xf>
    <xf numFmtId="0" fontId="21" fillId="18" borderId="3" xfId="4" applyFont="1" applyFill="1" applyBorder="1" applyAlignment="1">
      <alignment horizontal="center" vertical="center" wrapText="1"/>
    </xf>
    <xf numFmtId="0" fontId="12" fillId="12" borderId="1" xfId="1" applyFont="1" applyFill="1" applyBorder="1" applyAlignment="1">
      <alignment horizontal="center" vertical="center"/>
    </xf>
    <xf numFmtId="0" fontId="12" fillId="12" borderId="2" xfId="1" applyFont="1" applyFill="1" applyBorder="1" applyAlignment="1">
      <alignment horizontal="center" vertical="center"/>
    </xf>
    <xf numFmtId="0" fontId="12" fillId="12" borderId="3" xfId="1" applyFont="1" applyFill="1" applyBorder="1" applyAlignment="1">
      <alignment horizontal="center" vertical="center"/>
    </xf>
    <xf numFmtId="0" fontId="13" fillId="12" borderId="1" xfId="1" applyFont="1" applyFill="1" applyBorder="1" applyAlignment="1">
      <alignment horizontal="left" vertical="center"/>
    </xf>
    <xf numFmtId="0" fontId="13" fillId="12" borderId="2" xfId="1" applyFont="1" applyFill="1" applyBorder="1" applyAlignment="1">
      <alignment horizontal="left" vertical="center"/>
    </xf>
    <xf numFmtId="0" fontId="13" fillId="12" borderId="3" xfId="1" applyFont="1" applyFill="1" applyBorder="1" applyAlignment="1">
      <alignment horizontal="left" vertical="center"/>
    </xf>
    <xf numFmtId="0" fontId="38" fillId="26" borderId="4" xfId="0" applyFont="1" applyFill="1" applyBorder="1" applyAlignment="1">
      <alignment horizontal="center" vertical="center"/>
    </xf>
    <xf numFmtId="0" fontId="38" fillId="26" borderId="4" xfId="0" applyFont="1" applyFill="1" applyBorder="1" applyAlignment="1">
      <alignment vertical="center"/>
    </xf>
    <xf numFmtId="9" fontId="38" fillId="26" borderId="4" xfId="10" applyFont="1" applyFill="1" applyBorder="1" applyAlignment="1">
      <alignment horizontal="center" vertical="center"/>
    </xf>
    <xf numFmtId="1" fontId="0" fillId="0" borderId="0" xfId="0" applyNumberFormat="1"/>
    <xf numFmtId="0" fontId="38" fillId="27" borderId="4" xfId="0" applyFont="1" applyFill="1" applyBorder="1" applyAlignment="1">
      <alignment vertical="center"/>
    </xf>
    <xf numFmtId="9" fontId="38" fillId="27" borderId="4" xfId="10" applyFont="1" applyFill="1" applyBorder="1" applyAlignment="1">
      <alignment horizontal="center" vertical="center"/>
    </xf>
    <xf numFmtId="1" fontId="0" fillId="0" borderId="0" xfId="0" applyNumberFormat="1" applyFill="1"/>
  </cellXfs>
  <cellStyles count="11">
    <cellStyle name="20% - Accent5 2" xfId="9" xr:uid="{E65982C3-1D8E-A54F-B20D-A99B6134261B}"/>
    <cellStyle name="20% - Accent6 2" xfId="7" xr:uid="{29466BCF-2488-E74E-9804-B8AC69AF1708}"/>
    <cellStyle name="40% - Accent5 2" xfId="8" xr:uid="{79A37178-8BC0-7F4B-9319-28388AD112CF}"/>
    <cellStyle name="40% - Accent6 2" xfId="6" xr:uid="{3B42462C-3AC0-8A45-BFC2-F96697D3B5F9}"/>
    <cellStyle name="60% - Accent5 2" xfId="3" xr:uid="{612BC534-6C53-D248-A32D-C69905228315}"/>
    <cellStyle name="60% - Accent6 2" xfId="5" xr:uid="{20A6200D-B6C7-1846-BA7F-7FF6F7DD5BD4}"/>
    <cellStyle name="Accent5 2" xfId="2" xr:uid="{57288BC2-CA2E-144B-9F0E-D9509E7DE6E3}"/>
    <cellStyle name="Accent6 2" xfId="4" xr:uid="{551FD345-AF7B-AA46-8CB4-639A6179EF36}"/>
    <cellStyle name="Normal" xfId="0" builtinId="0"/>
    <cellStyle name="Normal 2" xfId="1" xr:uid="{C24F4F9D-38E7-2C4A-814C-8373D4424371}"/>
    <cellStyle name="Percent" xfId="10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3891" id="{ED09EEFB-444F-4E4B-823A-650AB250A94E}" userId="S::B3891@office-365.studio::9532afd8-4ff9-48ac-820c-fdd14d7b499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34" dT="2025-07-10T13:58:46.62" personId="{ED09EEFB-444F-4E4B-823A-650AB250A94E}" id="{A3AF2084-BD4C-4F47-ACB0-94BE56894077}">
    <text>相当于一根Costco普通甜玉米</text>
  </threadedComment>
  <threadedComment ref="J39" dT="2025-07-10T14:02:20.58" personId="{ED09EEFB-444F-4E4B-823A-650AB250A94E}" id="{4590AD9F-9A88-FB41-9A36-7F058270E301}">
    <text>海产是15%， 172g；牛/鸡是20%, 129g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27C18-81BB-D74F-A932-0DB49E237E28}">
  <dimension ref="A1:Q105"/>
  <sheetViews>
    <sheetView topLeftCell="A17" zoomScale="125" workbookViewId="0">
      <selection activeCell="F40" sqref="F40:H40"/>
    </sheetView>
  </sheetViews>
  <sheetFormatPr baseColWidth="10" defaultColWidth="27.6640625" defaultRowHeight="17.25" customHeight="1"/>
  <cols>
    <col min="1" max="1" width="3" style="5" customWidth="1"/>
    <col min="2" max="2" width="9.5" style="2" customWidth="1"/>
    <col min="3" max="3" width="8" style="2" customWidth="1"/>
    <col min="4" max="4" width="18.5" style="2" customWidth="1"/>
    <col min="5" max="5" width="2" style="3" customWidth="1"/>
    <col min="6" max="6" width="7.6640625" style="2" customWidth="1"/>
    <col min="7" max="7" width="14.6640625" style="2" customWidth="1"/>
    <col min="8" max="8" width="10.6640625" style="2" customWidth="1"/>
    <col min="9" max="9" width="2" style="3" customWidth="1"/>
    <col min="10" max="10" width="7.6640625" style="2" customWidth="1"/>
    <col min="11" max="11" width="14.6640625" style="2" customWidth="1"/>
    <col min="12" max="12" width="10.6640625" style="2" customWidth="1"/>
    <col min="13" max="14" width="33.83203125" style="2" customWidth="1"/>
    <col min="15" max="15" width="3" style="4" customWidth="1"/>
    <col min="16" max="20" width="9.33203125" style="2" customWidth="1"/>
    <col min="21" max="16384" width="27.6640625" style="2"/>
  </cols>
  <sheetData>
    <row r="1" spans="1:15" ht="17.25" customHeight="1">
      <c r="A1" s="1" t="s">
        <v>0</v>
      </c>
    </row>
    <row r="2" spans="1:15" ht="17.25" customHeight="1">
      <c r="A2" s="1" t="s">
        <v>1</v>
      </c>
    </row>
    <row r="4" spans="1:15" ht="17.25" customHeight="1">
      <c r="B4" s="60" t="s">
        <v>2</v>
      </c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2"/>
      <c r="O4" s="6"/>
    </row>
    <row r="5" spans="1:15" ht="17.25" customHeight="1">
      <c r="B5" s="7" t="s">
        <v>3</v>
      </c>
      <c r="C5" s="63" t="s">
        <v>4</v>
      </c>
      <c r="D5" s="64"/>
      <c r="E5" s="64"/>
      <c r="F5" s="64"/>
      <c r="G5" s="64"/>
      <c r="H5" s="64"/>
      <c r="I5" s="64"/>
      <c r="J5" s="64"/>
      <c r="K5" s="64"/>
      <c r="L5" s="64"/>
      <c r="M5" s="64"/>
      <c r="N5" s="65"/>
      <c r="O5" s="8"/>
    </row>
    <row r="6" spans="1:15" ht="17.25" customHeight="1">
      <c r="A6" s="5" t="s">
        <v>5</v>
      </c>
      <c r="B6" s="7" t="s">
        <v>6</v>
      </c>
      <c r="C6" s="66">
        <v>168</v>
      </c>
      <c r="D6" s="67"/>
      <c r="E6" s="67"/>
      <c r="F6" s="67"/>
      <c r="G6" s="67"/>
      <c r="H6" s="67"/>
      <c r="I6" s="67"/>
      <c r="J6" s="67"/>
      <c r="K6" s="67"/>
      <c r="L6" s="67"/>
      <c r="M6" s="67"/>
      <c r="N6" s="68"/>
      <c r="O6" s="9" t="s">
        <v>7</v>
      </c>
    </row>
    <row r="7" spans="1:15" ht="17.25" customHeight="1">
      <c r="A7" s="5" t="s">
        <v>5</v>
      </c>
      <c r="B7" s="7" t="s">
        <v>8</v>
      </c>
      <c r="C7" s="69">
        <v>66</v>
      </c>
      <c r="D7" s="70"/>
      <c r="E7" s="70"/>
      <c r="F7" s="70"/>
      <c r="G7" s="70"/>
      <c r="H7" s="70"/>
      <c r="I7" s="70"/>
      <c r="J7" s="70"/>
      <c r="K7" s="70"/>
      <c r="L7" s="70"/>
      <c r="M7" s="70"/>
      <c r="N7" s="71"/>
      <c r="O7" s="10" t="s">
        <v>7</v>
      </c>
    </row>
    <row r="8" spans="1:15" ht="17.25" customHeight="1">
      <c r="B8" s="7" t="s">
        <v>9</v>
      </c>
      <c r="C8" s="11">
        <f>66/1.68/1.58</f>
        <v>24.864376130198913</v>
      </c>
      <c r="D8" s="72" t="s">
        <v>10</v>
      </c>
      <c r="E8" s="72"/>
      <c r="F8" s="72"/>
      <c r="G8" s="72"/>
      <c r="H8" s="72"/>
      <c r="I8" s="72"/>
      <c r="J8" s="72"/>
      <c r="K8" s="72"/>
      <c r="L8" s="72"/>
      <c r="M8" s="72"/>
      <c r="N8" s="73"/>
      <c r="O8" s="12"/>
    </row>
    <row r="9" spans="1:15" ht="17.25" customHeight="1">
      <c r="B9" s="7" t="s">
        <v>11</v>
      </c>
      <c r="C9" s="74" t="s">
        <v>12</v>
      </c>
      <c r="D9" s="75"/>
      <c r="E9" s="75"/>
      <c r="F9" s="75"/>
      <c r="G9" s="75"/>
      <c r="H9" s="75"/>
      <c r="I9" s="75"/>
      <c r="J9" s="75"/>
      <c r="K9" s="75"/>
      <c r="L9" s="75"/>
      <c r="M9" s="75"/>
      <c r="N9" s="76"/>
      <c r="O9" s="13"/>
    </row>
    <row r="10" spans="1:15" ht="17.25" customHeight="1">
      <c r="B10" s="7" t="s">
        <v>13</v>
      </c>
      <c r="C10" s="90" t="s">
        <v>14</v>
      </c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2"/>
      <c r="O10" s="14"/>
    </row>
    <row r="11" spans="1:15" ht="27" customHeight="1">
      <c r="B11" s="15" t="s">
        <v>15</v>
      </c>
      <c r="C11" s="90" t="s">
        <v>16</v>
      </c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2"/>
      <c r="O11" s="14"/>
    </row>
    <row r="12" spans="1:15" ht="17.25" customHeight="1">
      <c r="B12" s="15" t="s">
        <v>17</v>
      </c>
      <c r="C12" s="93" t="s">
        <v>18</v>
      </c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5"/>
      <c r="O12" s="16"/>
    </row>
    <row r="13" spans="1:15" ht="17.25" customHeight="1">
      <c r="B13" s="103" t="s">
        <v>19</v>
      </c>
      <c r="C13" s="82" t="s">
        <v>20</v>
      </c>
      <c r="D13" s="17" t="s">
        <v>21</v>
      </c>
      <c r="E13" s="80">
        <f>66*9.99+168*6.25-28*4.92-161</f>
        <v>1410.5800000000002</v>
      </c>
      <c r="F13" s="81"/>
      <c r="G13" s="97" t="s">
        <v>22</v>
      </c>
      <c r="H13" s="98"/>
      <c r="I13" s="98"/>
      <c r="J13" s="98"/>
      <c r="K13" s="98"/>
      <c r="L13" s="98"/>
      <c r="M13" s="98"/>
      <c r="N13" s="99"/>
      <c r="O13" s="18"/>
    </row>
    <row r="14" spans="1:15" ht="17.25" customHeight="1">
      <c r="B14" s="104"/>
      <c r="C14" s="96"/>
      <c r="D14" s="19" t="s">
        <v>23</v>
      </c>
      <c r="E14" s="80">
        <f>E13/0.7</f>
        <v>2015.1142857142861</v>
      </c>
      <c r="F14" s="81"/>
      <c r="G14" s="100" t="s">
        <v>24</v>
      </c>
      <c r="H14" s="101"/>
      <c r="I14" s="101"/>
      <c r="J14" s="101"/>
      <c r="K14" s="101"/>
      <c r="L14" s="101"/>
      <c r="M14" s="101"/>
      <c r="N14" s="102"/>
      <c r="O14" s="18"/>
    </row>
    <row r="15" spans="1:15" ht="17.25" customHeight="1">
      <c r="B15" s="104"/>
      <c r="C15" s="96"/>
      <c r="D15" s="19" t="s">
        <v>25</v>
      </c>
      <c r="E15" s="80">
        <v>200</v>
      </c>
      <c r="F15" s="81"/>
      <c r="G15" s="77" t="s">
        <v>26</v>
      </c>
      <c r="H15" s="78"/>
      <c r="I15" s="78"/>
      <c r="J15" s="78"/>
      <c r="K15" s="78"/>
      <c r="L15" s="78"/>
      <c r="M15" s="78"/>
      <c r="N15" s="79"/>
      <c r="O15" s="18"/>
    </row>
    <row r="16" spans="1:15" ht="17.25" customHeight="1">
      <c r="B16" s="104"/>
      <c r="C16" s="83"/>
      <c r="D16" s="19" t="s">
        <v>27</v>
      </c>
      <c r="E16" s="80">
        <v>100</v>
      </c>
      <c r="F16" s="81"/>
      <c r="G16" s="77" t="s">
        <v>28</v>
      </c>
      <c r="H16" s="78"/>
      <c r="I16" s="78"/>
      <c r="J16" s="78"/>
      <c r="K16" s="78"/>
      <c r="L16" s="78"/>
      <c r="M16" s="78"/>
      <c r="N16" s="79"/>
      <c r="O16" s="18"/>
    </row>
    <row r="17" spans="1:15" ht="17.25" customHeight="1">
      <c r="B17" s="104"/>
      <c r="C17" s="82" t="s">
        <v>29</v>
      </c>
      <c r="D17" s="19" t="s">
        <v>30</v>
      </c>
      <c r="E17" s="80">
        <f>E14+E15+E16</f>
        <v>2315.1142857142859</v>
      </c>
      <c r="F17" s="81"/>
      <c r="G17" s="84" t="s">
        <v>31</v>
      </c>
      <c r="H17" s="85"/>
      <c r="I17" s="85"/>
      <c r="J17" s="85"/>
      <c r="K17" s="85"/>
      <c r="L17" s="85"/>
      <c r="M17" s="85"/>
      <c r="N17" s="86"/>
      <c r="O17" s="18"/>
    </row>
    <row r="18" spans="1:15" ht="17.25" customHeight="1">
      <c r="B18" s="104"/>
      <c r="C18" s="83"/>
      <c r="D18" s="19" t="s">
        <v>32</v>
      </c>
      <c r="E18" s="80">
        <f>E14+E16</f>
        <v>2115.1142857142859</v>
      </c>
      <c r="F18" s="81"/>
      <c r="G18" s="87"/>
      <c r="H18" s="88"/>
      <c r="I18" s="88"/>
      <c r="J18" s="88"/>
      <c r="K18" s="88"/>
      <c r="L18" s="88"/>
      <c r="M18" s="88"/>
      <c r="N18" s="89"/>
      <c r="O18" s="18"/>
    </row>
    <row r="19" spans="1:15" ht="17.25" customHeight="1">
      <c r="B19" s="104"/>
      <c r="C19" s="82" t="s">
        <v>33</v>
      </c>
      <c r="D19" s="19" t="s">
        <v>34</v>
      </c>
      <c r="E19" s="80">
        <f>E17*0.64</f>
        <v>1481.6731428571429</v>
      </c>
      <c r="F19" s="81"/>
      <c r="G19" s="84" t="s">
        <v>35</v>
      </c>
      <c r="H19" s="85"/>
      <c r="I19" s="85"/>
      <c r="J19" s="85"/>
      <c r="K19" s="85"/>
      <c r="L19" s="85"/>
      <c r="M19" s="85"/>
      <c r="N19" s="86"/>
      <c r="O19" s="18"/>
    </row>
    <row r="20" spans="1:15" ht="17.25" customHeight="1">
      <c r="B20" s="105"/>
      <c r="C20" s="83"/>
      <c r="D20" s="19" t="s">
        <v>36</v>
      </c>
      <c r="E20" s="80">
        <f>E18*0.64</f>
        <v>1353.6731428571429</v>
      </c>
      <c r="F20" s="81"/>
      <c r="G20" s="87"/>
      <c r="H20" s="88"/>
      <c r="I20" s="88"/>
      <c r="J20" s="88"/>
      <c r="K20" s="88"/>
      <c r="L20" s="88"/>
      <c r="M20" s="88"/>
      <c r="N20" s="89"/>
      <c r="O20" s="18"/>
    </row>
    <row r="21" spans="1:15" ht="17.25" customHeight="1">
      <c r="B21" s="103" t="s">
        <v>37</v>
      </c>
      <c r="C21" s="106"/>
      <c r="D21" s="107"/>
      <c r="E21" s="108" t="s">
        <v>38</v>
      </c>
      <c r="F21" s="109"/>
      <c r="G21" s="109"/>
      <c r="H21" s="110"/>
      <c r="I21" s="108" t="s">
        <v>39</v>
      </c>
      <c r="J21" s="109"/>
      <c r="K21" s="109"/>
      <c r="L21" s="110"/>
      <c r="M21" s="20" t="s">
        <v>40</v>
      </c>
      <c r="N21" s="20" t="s">
        <v>41</v>
      </c>
      <c r="O21" s="21"/>
    </row>
    <row r="22" spans="1:15" ht="17.25" customHeight="1">
      <c r="B22" s="104"/>
      <c r="C22" s="108" t="s">
        <v>42</v>
      </c>
      <c r="D22" s="110"/>
      <c r="E22" s="111">
        <v>2.4</v>
      </c>
      <c r="F22" s="112"/>
      <c r="G22" s="22">
        <v>66</v>
      </c>
      <c r="H22" s="23">
        <f>E22*G22</f>
        <v>158.4</v>
      </c>
      <c r="I22" s="111">
        <v>1.3</v>
      </c>
      <c r="J22" s="112"/>
      <c r="K22" s="22">
        <v>66</v>
      </c>
      <c r="L22" s="23">
        <f>I22*K22</f>
        <v>85.8</v>
      </c>
      <c r="M22" s="116" t="s">
        <v>43</v>
      </c>
      <c r="N22" s="116" t="s">
        <v>44</v>
      </c>
      <c r="O22" s="24"/>
    </row>
    <row r="23" spans="1:15" ht="17.25" customHeight="1">
      <c r="B23" s="105"/>
      <c r="C23" s="108" t="s">
        <v>45</v>
      </c>
      <c r="D23" s="110"/>
      <c r="E23" s="111">
        <v>2</v>
      </c>
      <c r="F23" s="112"/>
      <c r="G23" s="22">
        <v>66</v>
      </c>
      <c r="H23" s="23">
        <f>E23*G23</f>
        <v>132</v>
      </c>
      <c r="I23" s="111">
        <v>1.3</v>
      </c>
      <c r="J23" s="112"/>
      <c r="K23" s="22">
        <v>66</v>
      </c>
      <c r="L23" s="23">
        <f>I23*K23</f>
        <v>85.8</v>
      </c>
      <c r="M23" s="117"/>
      <c r="N23" s="117"/>
      <c r="O23" s="24"/>
    </row>
    <row r="24" spans="1:15" ht="17.25" customHeight="1">
      <c r="B24" s="103" t="s">
        <v>46</v>
      </c>
      <c r="C24" s="108" t="s">
        <v>47</v>
      </c>
      <c r="D24" s="110"/>
      <c r="E24" s="77" t="s">
        <v>48</v>
      </c>
      <c r="F24" s="78"/>
      <c r="G24" s="78"/>
      <c r="H24" s="78"/>
      <c r="I24" s="78"/>
      <c r="J24" s="78"/>
      <c r="K24" s="78"/>
      <c r="L24" s="78"/>
      <c r="M24" s="78"/>
      <c r="N24" s="79"/>
      <c r="O24" s="25"/>
    </row>
    <row r="25" spans="1:15" ht="17.25" customHeight="1">
      <c r="B25" s="105"/>
      <c r="C25" s="108" t="s">
        <v>49</v>
      </c>
      <c r="D25" s="110"/>
      <c r="E25" s="77" t="s">
        <v>50</v>
      </c>
      <c r="F25" s="78"/>
      <c r="G25" s="78"/>
      <c r="H25" s="78"/>
      <c r="I25" s="78"/>
      <c r="J25" s="78"/>
      <c r="K25" s="78"/>
      <c r="L25" s="78"/>
      <c r="M25" s="78"/>
      <c r="N25" s="79"/>
      <c r="O25" s="25"/>
    </row>
    <row r="26" spans="1:15" ht="17.25" customHeight="1">
      <c r="A26" s="5" t="s">
        <v>5</v>
      </c>
      <c r="O26" s="5" t="s">
        <v>7</v>
      </c>
    </row>
    <row r="27" spans="1:15" ht="17.25" customHeight="1">
      <c r="B27" s="113" t="s">
        <v>51</v>
      </c>
      <c r="C27" s="114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5"/>
      <c r="O27" s="26"/>
    </row>
    <row r="28" spans="1:15" ht="17.25" customHeight="1">
      <c r="B28" s="129" t="s">
        <v>52</v>
      </c>
      <c r="C28" s="130"/>
      <c r="D28" s="130"/>
      <c r="E28" s="130"/>
      <c r="F28" s="130"/>
      <c r="G28" s="130"/>
      <c r="H28" s="130"/>
      <c r="I28" s="130"/>
      <c r="J28" s="130"/>
      <c r="K28" s="130"/>
      <c r="L28" s="130"/>
      <c r="M28" s="130"/>
      <c r="N28" s="131"/>
      <c r="O28" s="27"/>
    </row>
    <row r="29" spans="1:15" ht="17.25" customHeight="1">
      <c r="B29" s="132" t="s">
        <v>53</v>
      </c>
      <c r="C29" s="133"/>
      <c r="D29" s="134"/>
      <c r="E29" s="132" t="s">
        <v>54</v>
      </c>
      <c r="F29" s="133"/>
      <c r="G29" s="133"/>
      <c r="H29" s="134"/>
      <c r="I29" s="132" t="s">
        <v>55</v>
      </c>
      <c r="J29" s="133"/>
      <c r="K29" s="133"/>
      <c r="L29" s="134"/>
      <c r="M29" s="28" t="s">
        <v>40</v>
      </c>
      <c r="N29" s="28" t="s">
        <v>41</v>
      </c>
      <c r="O29" s="29"/>
    </row>
    <row r="30" spans="1:15" ht="17.25" customHeight="1">
      <c r="B30" s="135" t="s">
        <v>56</v>
      </c>
      <c r="C30" s="136"/>
      <c r="D30" s="137"/>
      <c r="E30" s="141">
        <f>H22*0.2</f>
        <v>31.680000000000003</v>
      </c>
      <c r="F30" s="142"/>
      <c r="G30" s="142"/>
      <c r="H30" s="143"/>
      <c r="I30" s="144">
        <f>L22*0.2</f>
        <v>17.16</v>
      </c>
      <c r="J30" s="145"/>
      <c r="K30" s="145"/>
      <c r="L30" s="146"/>
      <c r="M30" s="30" t="s">
        <v>57</v>
      </c>
      <c r="N30" s="31" t="s">
        <v>58</v>
      </c>
      <c r="O30" s="32"/>
    </row>
    <row r="31" spans="1:15" ht="17.25" customHeight="1">
      <c r="B31" s="138"/>
      <c r="C31" s="139"/>
      <c r="D31" s="140"/>
      <c r="E31" s="33" t="s">
        <v>59</v>
      </c>
      <c r="F31" s="147">
        <f>E30/0.5</f>
        <v>63.360000000000007</v>
      </c>
      <c r="G31" s="147"/>
      <c r="H31" s="148"/>
      <c r="I31" s="33" t="s">
        <v>59</v>
      </c>
      <c r="J31" s="121" t="s">
        <v>60</v>
      </c>
      <c r="K31" s="121"/>
      <c r="L31" s="122"/>
      <c r="M31" s="149" t="s">
        <v>61</v>
      </c>
      <c r="N31" s="118" t="s">
        <v>62</v>
      </c>
      <c r="O31" s="32"/>
    </row>
    <row r="32" spans="1:15" ht="17.25" customHeight="1">
      <c r="B32" s="138"/>
      <c r="C32" s="139"/>
      <c r="D32" s="140"/>
      <c r="E32" s="33" t="s">
        <v>63</v>
      </c>
      <c r="F32" s="119">
        <f>E30/0.6</f>
        <v>52.800000000000004</v>
      </c>
      <c r="G32" s="119"/>
      <c r="H32" s="120"/>
      <c r="I32" s="33" t="s">
        <v>63</v>
      </c>
      <c r="J32" s="121" t="s">
        <v>64</v>
      </c>
      <c r="K32" s="121"/>
      <c r="L32" s="122"/>
      <c r="M32" s="149"/>
      <c r="N32" s="118"/>
      <c r="O32" s="32"/>
    </row>
    <row r="33" spans="2:17" ht="17.25" customHeight="1">
      <c r="B33" s="138"/>
      <c r="C33" s="139"/>
      <c r="D33" s="140"/>
      <c r="E33" s="33" t="s">
        <v>65</v>
      </c>
      <c r="F33" s="123">
        <f>E30/0.6</f>
        <v>52.800000000000004</v>
      </c>
      <c r="G33" s="123"/>
      <c r="H33" s="124"/>
      <c r="I33" s="33" t="s">
        <v>65</v>
      </c>
      <c r="J33" s="125">
        <v>0</v>
      </c>
      <c r="K33" s="125"/>
      <c r="L33" s="126"/>
      <c r="M33" s="127" t="s">
        <v>66</v>
      </c>
      <c r="N33" s="128" t="s">
        <v>67</v>
      </c>
      <c r="O33" s="32"/>
    </row>
    <row r="34" spans="2:17" ht="17.25" customHeight="1">
      <c r="B34" s="170" t="s">
        <v>68</v>
      </c>
      <c r="C34" s="171"/>
      <c r="D34" s="172"/>
      <c r="E34" s="33" t="s">
        <v>69</v>
      </c>
      <c r="F34" s="176">
        <f>E30/0.2</f>
        <v>158.4</v>
      </c>
      <c r="G34" s="176"/>
      <c r="H34" s="177"/>
      <c r="I34" s="33" t="s">
        <v>69</v>
      </c>
      <c r="J34" s="178">
        <v>0</v>
      </c>
      <c r="K34" s="178"/>
      <c r="L34" s="179"/>
      <c r="M34" s="127"/>
      <c r="N34" s="128"/>
      <c r="O34" s="32"/>
    </row>
    <row r="35" spans="2:17" ht="17.25" customHeight="1">
      <c r="B35" s="170"/>
      <c r="C35" s="171"/>
      <c r="D35" s="172"/>
      <c r="E35" s="33" t="s">
        <v>70</v>
      </c>
      <c r="F35" s="180">
        <f>32/0.23</f>
        <v>139.13043478260869</v>
      </c>
      <c r="G35" s="180"/>
      <c r="H35" s="181"/>
      <c r="I35" s="182" t="s">
        <v>71</v>
      </c>
      <c r="J35" s="183"/>
      <c r="K35" s="183"/>
      <c r="L35" s="184"/>
      <c r="M35" s="127"/>
      <c r="N35" s="128"/>
      <c r="O35" s="32"/>
    </row>
    <row r="36" spans="2:17" ht="17.25" customHeight="1">
      <c r="B36" s="170"/>
      <c r="C36" s="171"/>
      <c r="D36" s="172"/>
      <c r="E36" s="33" t="s">
        <v>72</v>
      </c>
      <c r="F36" s="191">
        <f>E30/0.23</f>
        <v>137.73913043478262</v>
      </c>
      <c r="G36" s="191"/>
      <c r="H36" s="192"/>
      <c r="I36" s="185"/>
      <c r="J36" s="186"/>
      <c r="K36" s="186"/>
      <c r="L36" s="187"/>
      <c r="M36" s="34"/>
      <c r="N36" s="35"/>
      <c r="O36" s="32"/>
    </row>
    <row r="37" spans="2:17" ht="17.25" customHeight="1">
      <c r="B37" s="173"/>
      <c r="C37" s="174"/>
      <c r="D37" s="175"/>
      <c r="E37" s="33" t="s">
        <v>73</v>
      </c>
      <c r="F37" s="193">
        <f>E30/0.3</f>
        <v>105.60000000000001</v>
      </c>
      <c r="G37" s="193"/>
      <c r="H37" s="194"/>
      <c r="I37" s="188"/>
      <c r="J37" s="189"/>
      <c r="K37" s="189"/>
      <c r="L37" s="190"/>
      <c r="M37" s="149" t="s">
        <v>74</v>
      </c>
      <c r="N37" s="149" t="s">
        <v>75</v>
      </c>
      <c r="O37" s="32"/>
    </row>
    <row r="38" spans="2:17" ht="17.25" customHeight="1">
      <c r="B38" s="150" t="s">
        <v>76</v>
      </c>
      <c r="C38" s="151"/>
      <c r="D38" s="152"/>
      <c r="E38" s="156">
        <f>H22*0.4</f>
        <v>63.360000000000007</v>
      </c>
      <c r="F38" s="157"/>
      <c r="G38" s="157"/>
      <c r="H38" s="158"/>
      <c r="I38" s="159">
        <f>L22*0.3</f>
        <v>25.74</v>
      </c>
      <c r="J38" s="160"/>
      <c r="K38" s="160"/>
      <c r="L38" s="161"/>
      <c r="M38" s="149"/>
      <c r="N38" s="149"/>
      <c r="O38" s="32"/>
    </row>
    <row r="39" spans="2:17" ht="17.25" customHeight="1">
      <c r="B39" s="153"/>
      <c r="C39" s="154"/>
      <c r="D39" s="155"/>
      <c r="E39" s="36" t="s">
        <v>59</v>
      </c>
      <c r="F39" s="162">
        <f>E38/0.25</f>
        <v>253.44000000000003</v>
      </c>
      <c r="G39" s="162"/>
      <c r="H39" s="163"/>
      <c r="I39" s="36" t="s">
        <v>59</v>
      </c>
      <c r="J39" s="164">
        <f>I38/0.2</f>
        <v>128.69999999999999</v>
      </c>
      <c r="K39" s="164"/>
      <c r="L39" s="165"/>
      <c r="M39" s="34"/>
      <c r="N39" s="37"/>
      <c r="O39" s="32"/>
    </row>
    <row r="40" spans="2:17" ht="17.25" customHeight="1">
      <c r="B40" s="153"/>
      <c r="C40" s="154"/>
      <c r="D40" s="155"/>
      <c r="E40" s="36" t="s">
        <v>63</v>
      </c>
      <c r="F40" s="166">
        <f>E38/0.23</f>
        <v>275.47826086956525</v>
      </c>
      <c r="G40" s="166"/>
      <c r="H40" s="167"/>
      <c r="I40" s="36" t="s">
        <v>63</v>
      </c>
      <c r="J40" s="168">
        <v>0</v>
      </c>
      <c r="K40" s="168"/>
      <c r="L40" s="169"/>
      <c r="M40" s="149" t="s">
        <v>77</v>
      </c>
      <c r="N40" s="37"/>
      <c r="O40" s="32"/>
    </row>
    <row r="41" spans="2:17" ht="17.25" customHeight="1">
      <c r="B41" s="227" t="s">
        <v>78</v>
      </c>
      <c r="C41" s="228"/>
      <c r="D41" s="229"/>
      <c r="E41" s="36" t="s">
        <v>65</v>
      </c>
      <c r="F41" s="233">
        <f>E38/0.5</f>
        <v>126.72000000000001</v>
      </c>
      <c r="G41" s="233"/>
      <c r="H41" s="234"/>
      <c r="I41" s="235" t="s">
        <v>79</v>
      </c>
      <c r="J41" s="236"/>
      <c r="K41" s="236"/>
      <c r="L41" s="237"/>
      <c r="M41" s="149"/>
      <c r="N41" s="38"/>
      <c r="O41" s="32"/>
      <c r="Q41" s="2" t="s">
        <v>80</v>
      </c>
    </row>
    <row r="42" spans="2:17" ht="17.25" customHeight="1">
      <c r="B42" s="227"/>
      <c r="C42" s="228"/>
      <c r="D42" s="229"/>
      <c r="E42" s="36" t="s">
        <v>69</v>
      </c>
      <c r="F42" s="244">
        <v>0</v>
      </c>
      <c r="G42" s="244"/>
      <c r="H42" s="245"/>
      <c r="I42" s="238"/>
      <c r="J42" s="239"/>
      <c r="K42" s="239"/>
      <c r="L42" s="240"/>
      <c r="M42" s="39" t="s">
        <v>81</v>
      </c>
      <c r="N42" s="40" t="s">
        <v>81</v>
      </c>
      <c r="O42" s="32"/>
    </row>
    <row r="43" spans="2:17" ht="17.25" customHeight="1">
      <c r="B43" s="227"/>
      <c r="C43" s="228"/>
      <c r="D43" s="229"/>
      <c r="E43" s="36" t="s">
        <v>70</v>
      </c>
      <c r="F43" s="197">
        <f>E38/0.2</f>
        <v>316.8</v>
      </c>
      <c r="G43" s="197"/>
      <c r="H43" s="198"/>
      <c r="I43" s="238"/>
      <c r="J43" s="239"/>
      <c r="K43" s="239"/>
      <c r="L43" s="240"/>
      <c r="M43" s="30" t="s">
        <v>82</v>
      </c>
      <c r="N43" s="31" t="s">
        <v>83</v>
      </c>
      <c r="O43" s="32"/>
    </row>
    <row r="44" spans="2:17" ht="17.25" customHeight="1">
      <c r="B44" s="230"/>
      <c r="C44" s="231"/>
      <c r="D44" s="232"/>
      <c r="E44" s="36" t="s">
        <v>72</v>
      </c>
      <c r="F44" s="200">
        <v>0</v>
      </c>
      <c r="G44" s="200"/>
      <c r="H44" s="201"/>
      <c r="I44" s="241"/>
      <c r="J44" s="242"/>
      <c r="K44" s="242"/>
      <c r="L44" s="243"/>
      <c r="M44" s="118" t="s">
        <v>84</v>
      </c>
      <c r="N44" s="118" t="s">
        <v>85</v>
      </c>
      <c r="O44" s="32"/>
    </row>
    <row r="45" spans="2:17" ht="17.25" customHeight="1">
      <c r="B45" s="202" t="s">
        <v>86</v>
      </c>
      <c r="C45" s="203"/>
      <c r="D45" s="204"/>
      <c r="E45" s="211">
        <f>H22*0.3</f>
        <v>47.52</v>
      </c>
      <c r="F45" s="212"/>
      <c r="G45" s="212"/>
      <c r="H45" s="213"/>
      <c r="I45" s="159">
        <f>L22*0.3</f>
        <v>25.74</v>
      </c>
      <c r="J45" s="160"/>
      <c r="K45" s="160"/>
      <c r="L45" s="161"/>
      <c r="M45" s="118"/>
      <c r="N45" s="118"/>
      <c r="O45" s="32"/>
    </row>
    <row r="46" spans="2:17" ht="17.25" customHeight="1">
      <c r="B46" s="205"/>
      <c r="C46" s="206"/>
      <c r="D46" s="207"/>
      <c r="E46" s="41" t="s">
        <v>59</v>
      </c>
      <c r="F46" s="214">
        <f>E45/0.3</f>
        <v>158.4</v>
      </c>
      <c r="G46" s="214"/>
      <c r="H46" s="215"/>
      <c r="I46" s="36" t="s">
        <v>59</v>
      </c>
      <c r="J46" s="164">
        <f>I45/0.2</f>
        <v>128.69999999999999</v>
      </c>
      <c r="K46" s="164"/>
      <c r="L46" s="165"/>
      <c r="M46" s="118"/>
      <c r="N46" s="118"/>
      <c r="O46" s="32"/>
    </row>
    <row r="47" spans="2:17" ht="17.25" customHeight="1">
      <c r="B47" s="205"/>
      <c r="C47" s="206"/>
      <c r="D47" s="207"/>
      <c r="E47" s="41" t="s">
        <v>63</v>
      </c>
      <c r="F47" s="216">
        <f>E45/0.23</f>
        <v>206.60869565217391</v>
      </c>
      <c r="G47" s="216"/>
      <c r="H47" s="217"/>
      <c r="I47" s="218" t="s">
        <v>87</v>
      </c>
      <c r="J47" s="219"/>
      <c r="K47" s="219"/>
      <c r="L47" s="220"/>
      <c r="M47" s="128" t="s">
        <v>88</v>
      </c>
      <c r="N47" s="128" t="s">
        <v>89</v>
      </c>
      <c r="O47" s="32"/>
    </row>
    <row r="48" spans="2:17" ht="17.25" customHeight="1">
      <c r="B48" s="205"/>
      <c r="C48" s="206"/>
      <c r="D48" s="207"/>
      <c r="E48" s="41" t="s">
        <v>65</v>
      </c>
      <c r="F48" s="195">
        <f>E45/0.5</f>
        <v>95.04</v>
      </c>
      <c r="G48" s="195"/>
      <c r="H48" s="196"/>
      <c r="I48" s="221"/>
      <c r="J48" s="222"/>
      <c r="K48" s="222"/>
      <c r="L48" s="223"/>
      <c r="M48" s="128"/>
      <c r="N48" s="128"/>
      <c r="O48" s="32"/>
    </row>
    <row r="49" spans="1:15" ht="17.25" customHeight="1">
      <c r="B49" s="205"/>
      <c r="C49" s="206"/>
      <c r="D49" s="207"/>
      <c r="E49" s="41" t="s">
        <v>69</v>
      </c>
      <c r="F49" s="197">
        <f>E45/0.2</f>
        <v>237.6</v>
      </c>
      <c r="G49" s="197"/>
      <c r="H49" s="198"/>
      <c r="I49" s="221"/>
      <c r="J49" s="222"/>
      <c r="K49" s="222"/>
      <c r="L49" s="223"/>
      <c r="M49" s="118" t="s">
        <v>90</v>
      </c>
      <c r="N49" s="199" t="s">
        <v>91</v>
      </c>
      <c r="O49" s="32"/>
    </row>
    <row r="50" spans="1:15" ht="17.25" customHeight="1">
      <c r="B50" s="208"/>
      <c r="C50" s="209"/>
      <c r="D50" s="210"/>
      <c r="E50" s="41" t="s">
        <v>70</v>
      </c>
      <c r="F50" s="200">
        <f>E45/0.23</f>
        <v>206.60869565217391</v>
      </c>
      <c r="G50" s="200"/>
      <c r="H50" s="201"/>
      <c r="I50" s="224"/>
      <c r="J50" s="225"/>
      <c r="K50" s="225"/>
      <c r="L50" s="226"/>
      <c r="M50" s="118"/>
      <c r="N50" s="199"/>
      <c r="O50" s="32"/>
    </row>
    <row r="51" spans="1:15" ht="17.25" customHeight="1">
      <c r="B51" s="261" t="s">
        <v>92</v>
      </c>
      <c r="C51" s="262"/>
      <c r="D51" s="263"/>
      <c r="E51" s="267">
        <f>H22*0.1</f>
        <v>15.840000000000002</v>
      </c>
      <c r="F51" s="268"/>
      <c r="G51" s="268"/>
      <c r="H51" s="269"/>
      <c r="I51" s="270">
        <f>L22*0.2</f>
        <v>17.16</v>
      </c>
      <c r="J51" s="271"/>
      <c r="K51" s="271"/>
      <c r="L51" s="272"/>
      <c r="M51" s="128" t="s">
        <v>93</v>
      </c>
      <c r="N51" s="42"/>
      <c r="O51" s="32"/>
    </row>
    <row r="52" spans="1:15" ht="17.25" customHeight="1">
      <c r="B52" s="264"/>
      <c r="C52" s="265"/>
      <c r="D52" s="266"/>
      <c r="E52" s="273" t="s">
        <v>94</v>
      </c>
      <c r="F52" s="274"/>
      <c r="G52" s="274"/>
      <c r="H52" s="275"/>
      <c r="I52" s="43" t="s">
        <v>59</v>
      </c>
      <c r="J52" s="125">
        <v>0</v>
      </c>
      <c r="K52" s="125"/>
      <c r="L52" s="126"/>
      <c r="M52" s="128"/>
      <c r="N52" s="38"/>
      <c r="O52" s="32"/>
    </row>
    <row r="53" spans="1:15" ht="17.25" customHeight="1">
      <c r="B53" s="279" t="s">
        <v>95</v>
      </c>
      <c r="C53" s="280"/>
      <c r="D53" s="281"/>
      <c r="E53" s="276"/>
      <c r="F53" s="277"/>
      <c r="G53" s="277"/>
      <c r="H53" s="278"/>
      <c r="I53" s="44" t="s">
        <v>63</v>
      </c>
      <c r="J53" s="285" t="s">
        <v>96</v>
      </c>
      <c r="K53" s="285"/>
      <c r="L53" s="286"/>
      <c r="M53" s="45" t="s">
        <v>97</v>
      </c>
      <c r="N53" s="38"/>
      <c r="O53" s="32"/>
    </row>
    <row r="54" spans="1:15" ht="17.25" customHeight="1">
      <c r="B54" s="279"/>
      <c r="C54" s="280"/>
      <c r="D54" s="281"/>
      <c r="E54" s="247" t="s">
        <v>98</v>
      </c>
      <c r="F54" s="248"/>
      <c r="G54" s="248"/>
      <c r="H54" s="249"/>
      <c r="I54" s="46"/>
      <c r="J54" s="287" t="s">
        <v>99</v>
      </c>
      <c r="K54" s="287"/>
      <c r="L54" s="288"/>
      <c r="M54" s="128" t="s">
        <v>100</v>
      </c>
      <c r="N54" s="38"/>
      <c r="O54" s="32"/>
    </row>
    <row r="55" spans="1:15" ht="17.25" customHeight="1">
      <c r="B55" s="282"/>
      <c r="C55" s="283"/>
      <c r="D55" s="284"/>
      <c r="E55" s="247" t="s">
        <v>101</v>
      </c>
      <c r="F55" s="248"/>
      <c r="G55" s="248"/>
      <c r="H55" s="249"/>
      <c r="I55" s="47"/>
      <c r="J55" s="250" t="s">
        <v>102</v>
      </c>
      <c r="K55" s="250"/>
      <c r="L55" s="251"/>
      <c r="M55" s="246"/>
      <c r="N55" s="48"/>
      <c r="O55" s="32"/>
    </row>
    <row r="56" spans="1:15" ht="17.25" customHeight="1">
      <c r="B56" s="252" t="s">
        <v>103</v>
      </c>
      <c r="C56" s="253"/>
      <c r="D56" s="254"/>
      <c r="E56" s="255">
        <f>E51+E45+E38+E30</f>
        <v>158.4</v>
      </c>
      <c r="F56" s="256"/>
      <c r="G56" s="256"/>
      <c r="H56" s="257"/>
      <c r="I56" s="258">
        <f>I51+I45+I38+I30</f>
        <v>85.8</v>
      </c>
      <c r="J56" s="259"/>
      <c r="K56" s="259"/>
      <c r="L56" s="260"/>
      <c r="M56" s="49" t="s">
        <v>104</v>
      </c>
      <c r="N56" s="49" t="s">
        <v>105</v>
      </c>
    </row>
    <row r="57" spans="1:15" ht="17.25" customHeight="1">
      <c r="A57" s="5" t="s">
        <v>5</v>
      </c>
      <c r="O57" s="5" t="s">
        <v>7</v>
      </c>
    </row>
    <row r="58" spans="1:15" ht="17.25" customHeight="1">
      <c r="B58" s="289" t="s">
        <v>106</v>
      </c>
      <c r="C58" s="290"/>
      <c r="D58" s="290"/>
      <c r="E58" s="290"/>
      <c r="F58" s="290"/>
      <c r="G58" s="290"/>
      <c r="H58" s="290"/>
      <c r="I58" s="290"/>
      <c r="J58" s="290"/>
      <c r="K58" s="290"/>
      <c r="L58" s="290"/>
      <c r="M58" s="290"/>
      <c r="N58" s="291"/>
    </row>
    <row r="59" spans="1:15" ht="17.25" customHeight="1">
      <c r="B59" s="292" t="s">
        <v>52</v>
      </c>
      <c r="C59" s="293"/>
      <c r="D59" s="293"/>
      <c r="E59" s="293"/>
      <c r="F59" s="293"/>
      <c r="G59" s="293"/>
      <c r="H59" s="293"/>
      <c r="I59" s="293"/>
      <c r="J59" s="293"/>
      <c r="K59" s="293"/>
      <c r="L59" s="293"/>
      <c r="M59" s="293"/>
      <c r="N59" s="294"/>
    </row>
    <row r="60" spans="1:15" ht="17.25" customHeight="1">
      <c r="B60" s="295" t="s">
        <v>53</v>
      </c>
      <c r="C60" s="296"/>
      <c r="D60" s="297"/>
      <c r="E60" s="298" t="s">
        <v>107</v>
      </c>
      <c r="F60" s="299"/>
      <c r="G60" s="299"/>
      <c r="H60" s="300"/>
      <c r="I60" s="295" t="s">
        <v>108</v>
      </c>
      <c r="J60" s="296"/>
      <c r="K60" s="296"/>
      <c r="L60" s="297"/>
      <c r="M60" s="50" t="s">
        <v>40</v>
      </c>
      <c r="N60" s="50" t="s">
        <v>41</v>
      </c>
    </row>
    <row r="61" spans="1:15" ht="17.25" customHeight="1">
      <c r="B61" s="301" t="s">
        <v>109</v>
      </c>
      <c r="C61" s="302"/>
      <c r="D61" s="303"/>
      <c r="E61" s="310">
        <f>H23*0.2</f>
        <v>26.400000000000002</v>
      </c>
      <c r="F61" s="311"/>
      <c r="G61" s="311"/>
      <c r="H61" s="312"/>
      <c r="I61" s="313">
        <f>I30</f>
        <v>17.16</v>
      </c>
      <c r="J61" s="314"/>
      <c r="K61" s="314"/>
      <c r="L61" s="315"/>
      <c r="M61" s="316" t="s">
        <v>110</v>
      </c>
      <c r="N61" s="319" t="s">
        <v>110</v>
      </c>
    </row>
    <row r="62" spans="1:15" ht="17.25" customHeight="1">
      <c r="B62" s="304"/>
      <c r="C62" s="305"/>
      <c r="D62" s="306"/>
      <c r="E62" s="51" t="s">
        <v>59</v>
      </c>
      <c r="F62" s="341">
        <f>E61/0.5</f>
        <v>52.800000000000004</v>
      </c>
      <c r="G62" s="341"/>
      <c r="H62" s="342"/>
      <c r="I62" s="51" t="s">
        <v>59</v>
      </c>
      <c r="J62" s="343" t="s">
        <v>60</v>
      </c>
      <c r="K62" s="343"/>
      <c r="L62" s="344"/>
      <c r="M62" s="317"/>
      <c r="N62" s="320"/>
    </row>
    <row r="63" spans="1:15" ht="17.25" customHeight="1">
      <c r="B63" s="304"/>
      <c r="C63" s="305"/>
      <c r="D63" s="306"/>
      <c r="E63" s="51" t="s">
        <v>63</v>
      </c>
      <c r="F63" s="345">
        <f>E61/0.6</f>
        <v>44.000000000000007</v>
      </c>
      <c r="G63" s="345"/>
      <c r="H63" s="346"/>
      <c r="I63" s="51" t="s">
        <v>63</v>
      </c>
      <c r="J63" s="343" t="s">
        <v>64</v>
      </c>
      <c r="K63" s="343"/>
      <c r="L63" s="344"/>
      <c r="M63" s="317"/>
      <c r="N63" s="320"/>
    </row>
    <row r="64" spans="1:15" ht="17.25" customHeight="1">
      <c r="B64" s="304"/>
      <c r="C64" s="305"/>
      <c r="D64" s="306"/>
      <c r="E64" s="51" t="s">
        <v>65</v>
      </c>
      <c r="F64" s="347">
        <f>E61/0.6</f>
        <v>44.000000000000007</v>
      </c>
      <c r="G64" s="347"/>
      <c r="H64" s="348"/>
      <c r="I64" s="51" t="s">
        <v>65</v>
      </c>
      <c r="J64" s="349">
        <v>0</v>
      </c>
      <c r="K64" s="349"/>
      <c r="L64" s="350"/>
      <c r="M64" s="317"/>
      <c r="N64" s="320"/>
    </row>
    <row r="65" spans="2:14" ht="17.25" customHeight="1">
      <c r="B65" s="304"/>
      <c r="C65" s="305"/>
      <c r="D65" s="306"/>
      <c r="E65" s="51" t="s">
        <v>69</v>
      </c>
      <c r="F65" s="322">
        <f>E61/0.2</f>
        <v>132</v>
      </c>
      <c r="G65" s="322"/>
      <c r="H65" s="323"/>
      <c r="I65" s="51" t="s">
        <v>69</v>
      </c>
      <c r="J65" s="324">
        <v>0</v>
      </c>
      <c r="K65" s="324"/>
      <c r="L65" s="325"/>
      <c r="M65" s="317"/>
      <c r="N65" s="320"/>
    </row>
    <row r="66" spans="2:14" ht="17.25" customHeight="1">
      <c r="B66" s="304"/>
      <c r="C66" s="305"/>
      <c r="D66" s="306"/>
      <c r="E66" s="51" t="s">
        <v>70</v>
      </c>
      <c r="F66" s="326">
        <f>E61/0.23</f>
        <v>114.78260869565217</v>
      </c>
      <c r="G66" s="326"/>
      <c r="H66" s="327"/>
      <c r="I66" s="328" t="s">
        <v>111</v>
      </c>
      <c r="J66" s="329"/>
      <c r="K66" s="329"/>
      <c r="L66" s="330"/>
      <c r="M66" s="317"/>
      <c r="N66" s="320"/>
    </row>
    <row r="67" spans="2:14" ht="17.25" customHeight="1">
      <c r="B67" s="304"/>
      <c r="C67" s="305"/>
      <c r="D67" s="306"/>
      <c r="E67" s="51" t="s">
        <v>72</v>
      </c>
      <c r="F67" s="337">
        <f>E61/0.23</f>
        <v>114.78260869565217</v>
      </c>
      <c r="G67" s="337"/>
      <c r="H67" s="338"/>
      <c r="I67" s="331"/>
      <c r="J67" s="332"/>
      <c r="K67" s="332"/>
      <c r="L67" s="333"/>
      <c r="M67" s="317"/>
      <c r="N67" s="320"/>
    </row>
    <row r="68" spans="2:14" ht="17.25" customHeight="1">
      <c r="B68" s="307"/>
      <c r="C68" s="308"/>
      <c r="D68" s="309"/>
      <c r="E68" s="51" t="s">
        <v>73</v>
      </c>
      <c r="F68" s="339">
        <f>E61/0.2</f>
        <v>132</v>
      </c>
      <c r="G68" s="339"/>
      <c r="H68" s="340"/>
      <c r="I68" s="334"/>
      <c r="J68" s="335"/>
      <c r="K68" s="335"/>
      <c r="L68" s="336"/>
      <c r="M68" s="317"/>
      <c r="N68" s="320"/>
    </row>
    <row r="69" spans="2:14" ht="17.25" customHeight="1">
      <c r="B69" s="351" t="s">
        <v>112</v>
      </c>
      <c r="C69" s="352"/>
      <c r="D69" s="353"/>
      <c r="E69" s="360">
        <f>H23*0.3</f>
        <v>39.6</v>
      </c>
      <c r="F69" s="361"/>
      <c r="G69" s="361"/>
      <c r="H69" s="362"/>
      <c r="I69" s="363">
        <f>I38</f>
        <v>25.74</v>
      </c>
      <c r="J69" s="364"/>
      <c r="K69" s="364"/>
      <c r="L69" s="365"/>
      <c r="M69" s="317"/>
      <c r="N69" s="320"/>
    </row>
    <row r="70" spans="2:14" ht="17.25" customHeight="1">
      <c r="B70" s="354"/>
      <c r="C70" s="355"/>
      <c r="D70" s="356"/>
      <c r="E70" s="52" t="s">
        <v>59</v>
      </c>
      <c r="F70" s="366">
        <f>E69/0.2</f>
        <v>198</v>
      </c>
      <c r="G70" s="366"/>
      <c r="H70" s="367"/>
      <c r="I70" s="52" t="s">
        <v>59</v>
      </c>
      <c r="J70" s="368">
        <f>26/0.2</f>
        <v>130</v>
      </c>
      <c r="K70" s="368"/>
      <c r="L70" s="369"/>
      <c r="M70" s="317"/>
      <c r="N70" s="320"/>
    </row>
    <row r="71" spans="2:14" ht="17.25" customHeight="1">
      <c r="B71" s="354"/>
      <c r="C71" s="355"/>
      <c r="D71" s="356"/>
      <c r="E71" s="52" t="s">
        <v>63</v>
      </c>
      <c r="F71" s="370">
        <f>E69/0.23</f>
        <v>172.17391304347825</v>
      </c>
      <c r="G71" s="370"/>
      <c r="H71" s="371"/>
      <c r="I71" s="372" t="s">
        <v>113</v>
      </c>
      <c r="J71" s="373"/>
      <c r="K71" s="373"/>
      <c r="L71" s="374"/>
      <c r="M71" s="317"/>
      <c r="N71" s="320"/>
    </row>
    <row r="72" spans="2:14" ht="17.25" customHeight="1">
      <c r="B72" s="354"/>
      <c r="C72" s="355"/>
      <c r="D72" s="356"/>
      <c r="E72" s="52" t="s">
        <v>65</v>
      </c>
      <c r="F72" s="381">
        <f>E69/0.5</f>
        <v>79.2</v>
      </c>
      <c r="G72" s="381"/>
      <c r="H72" s="382"/>
      <c r="I72" s="375"/>
      <c r="J72" s="376"/>
      <c r="K72" s="376"/>
      <c r="L72" s="377"/>
      <c r="M72" s="317"/>
      <c r="N72" s="320"/>
    </row>
    <row r="73" spans="2:14" ht="17.25" customHeight="1">
      <c r="B73" s="354"/>
      <c r="C73" s="355"/>
      <c r="D73" s="356"/>
      <c r="E73" s="52" t="s">
        <v>69</v>
      </c>
      <c r="F73" s="383">
        <f>E69/0.2</f>
        <v>198</v>
      </c>
      <c r="G73" s="383"/>
      <c r="H73" s="384"/>
      <c r="I73" s="375"/>
      <c r="J73" s="376"/>
      <c r="K73" s="376"/>
      <c r="L73" s="377"/>
      <c r="M73" s="317"/>
      <c r="N73" s="320"/>
    </row>
    <row r="74" spans="2:14" ht="17.25" customHeight="1">
      <c r="B74" s="357"/>
      <c r="C74" s="358"/>
      <c r="D74" s="359"/>
      <c r="E74" s="52" t="s">
        <v>70</v>
      </c>
      <c r="F74" s="385">
        <f>E69/0.23</f>
        <v>172.17391304347825</v>
      </c>
      <c r="G74" s="385"/>
      <c r="H74" s="386"/>
      <c r="I74" s="378"/>
      <c r="J74" s="379"/>
      <c r="K74" s="379"/>
      <c r="L74" s="380"/>
      <c r="M74" s="317"/>
      <c r="N74" s="320"/>
    </row>
    <row r="75" spans="2:14" ht="17.25" customHeight="1">
      <c r="B75" s="387" t="s">
        <v>114</v>
      </c>
      <c r="C75" s="388"/>
      <c r="D75" s="389"/>
      <c r="E75" s="396">
        <f>H23*0.3</f>
        <v>39.6</v>
      </c>
      <c r="F75" s="397"/>
      <c r="G75" s="397"/>
      <c r="H75" s="398"/>
      <c r="I75" s="399">
        <f>I45</f>
        <v>25.74</v>
      </c>
      <c r="J75" s="400"/>
      <c r="K75" s="400"/>
      <c r="L75" s="401"/>
      <c r="M75" s="317"/>
      <c r="N75" s="320"/>
    </row>
    <row r="76" spans="2:14" ht="17.25" customHeight="1">
      <c r="B76" s="390"/>
      <c r="C76" s="391"/>
      <c r="D76" s="392"/>
      <c r="E76" s="53" t="s">
        <v>59</v>
      </c>
      <c r="F76" s="402">
        <f>40/0.2</f>
        <v>200</v>
      </c>
      <c r="G76" s="402"/>
      <c r="H76" s="403"/>
      <c r="I76" s="54" t="s">
        <v>59</v>
      </c>
      <c r="J76" s="404">
        <f>26/0.25</f>
        <v>104</v>
      </c>
      <c r="K76" s="404"/>
      <c r="L76" s="405"/>
      <c r="M76" s="317"/>
      <c r="N76" s="320"/>
    </row>
    <row r="77" spans="2:14" ht="17.25" customHeight="1">
      <c r="B77" s="390"/>
      <c r="C77" s="391"/>
      <c r="D77" s="392"/>
      <c r="E77" s="53" t="s">
        <v>63</v>
      </c>
      <c r="F77" s="406">
        <f>E75/0.23</f>
        <v>172.17391304347825</v>
      </c>
      <c r="G77" s="406"/>
      <c r="H77" s="407"/>
      <c r="I77" s="408" t="s">
        <v>115</v>
      </c>
      <c r="J77" s="409"/>
      <c r="K77" s="409"/>
      <c r="L77" s="410"/>
      <c r="M77" s="317"/>
      <c r="N77" s="320"/>
    </row>
    <row r="78" spans="2:14" ht="17.25" customHeight="1">
      <c r="B78" s="390"/>
      <c r="C78" s="391"/>
      <c r="D78" s="392"/>
      <c r="E78" s="53" t="s">
        <v>65</v>
      </c>
      <c r="F78" s="417">
        <f>E75/0.5</f>
        <v>79.2</v>
      </c>
      <c r="G78" s="417"/>
      <c r="H78" s="418"/>
      <c r="I78" s="411"/>
      <c r="J78" s="412"/>
      <c r="K78" s="412"/>
      <c r="L78" s="413"/>
      <c r="M78" s="317"/>
      <c r="N78" s="320"/>
    </row>
    <row r="79" spans="2:14" ht="17.25" customHeight="1">
      <c r="B79" s="390"/>
      <c r="C79" s="391"/>
      <c r="D79" s="392"/>
      <c r="E79" s="53" t="s">
        <v>69</v>
      </c>
      <c r="F79" s="419">
        <f>E75/0.2</f>
        <v>198</v>
      </c>
      <c r="G79" s="419"/>
      <c r="H79" s="420"/>
      <c r="I79" s="411"/>
      <c r="J79" s="412"/>
      <c r="K79" s="412"/>
      <c r="L79" s="413"/>
      <c r="M79" s="317"/>
      <c r="N79" s="320"/>
    </row>
    <row r="80" spans="2:14" ht="17.25" customHeight="1">
      <c r="B80" s="393"/>
      <c r="C80" s="394"/>
      <c r="D80" s="395"/>
      <c r="E80" s="53" t="s">
        <v>70</v>
      </c>
      <c r="F80" s="421">
        <f>E75/0.23</f>
        <v>172.17391304347825</v>
      </c>
      <c r="G80" s="421"/>
      <c r="H80" s="422"/>
      <c r="I80" s="414"/>
      <c r="J80" s="415"/>
      <c r="K80" s="415"/>
      <c r="L80" s="416"/>
      <c r="M80" s="317"/>
      <c r="N80" s="320"/>
    </row>
    <row r="81" spans="1:15" ht="17.25" customHeight="1">
      <c r="B81" s="423" t="s">
        <v>116</v>
      </c>
      <c r="C81" s="424"/>
      <c r="D81" s="425"/>
      <c r="E81" s="429">
        <f>H23*0.1</f>
        <v>13.200000000000001</v>
      </c>
      <c r="F81" s="430"/>
      <c r="G81" s="430"/>
      <c r="H81" s="431"/>
      <c r="I81" s="432">
        <f>I51</f>
        <v>17.16</v>
      </c>
      <c r="J81" s="433"/>
      <c r="K81" s="433"/>
      <c r="L81" s="434"/>
      <c r="M81" s="317"/>
      <c r="N81" s="320"/>
    </row>
    <row r="82" spans="1:15" ht="17.25" customHeight="1">
      <c r="B82" s="426"/>
      <c r="C82" s="427"/>
      <c r="D82" s="428"/>
      <c r="E82" s="435" t="s">
        <v>94</v>
      </c>
      <c r="F82" s="436"/>
      <c r="G82" s="436"/>
      <c r="H82" s="437"/>
      <c r="I82" s="55" t="s">
        <v>59</v>
      </c>
      <c r="J82" s="441">
        <f>17/0.25</f>
        <v>68</v>
      </c>
      <c r="K82" s="441"/>
      <c r="L82" s="442"/>
      <c r="M82" s="317"/>
      <c r="N82" s="320"/>
    </row>
    <row r="83" spans="1:15" ht="17.25" customHeight="1">
      <c r="B83" s="443" t="s">
        <v>95</v>
      </c>
      <c r="C83" s="444"/>
      <c r="D83" s="445"/>
      <c r="E83" s="438"/>
      <c r="F83" s="439"/>
      <c r="G83" s="439"/>
      <c r="H83" s="440"/>
      <c r="I83" s="56" t="s">
        <v>63</v>
      </c>
      <c r="J83" s="449" t="s">
        <v>96</v>
      </c>
      <c r="K83" s="449"/>
      <c r="L83" s="450"/>
      <c r="M83" s="317"/>
      <c r="N83" s="320"/>
    </row>
    <row r="84" spans="1:15" ht="17.25" customHeight="1">
      <c r="B84" s="443"/>
      <c r="C84" s="444"/>
      <c r="D84" s="445"/>
      <c r="E84" s="451" t="s">
        <v>98</v>
      </c>
      <c r="F84" s="452"/>
      <c r="G84" s="452"/>
      <c r="H84" s="453"/>
      <c r="I84" s="57"/>
      <c r="J84" s="454" t="s">
        <v>99</v>
      </c>
      <c r="K84" s="454"/>
      <c r="L84" s="455"/>
      <c r="M84" s="317"/>
      <c r="N84" s="320"/>
    </row>
    <row r="85" spans="1:15" ht="17.25" customHeight="1">
      <c r="B85" s="446"/>
      <c r="C85" s="447"/>
      <c r="D85" s="448"/>
      <c r="E85" s="451" t="s">
        <v>101</v>
      </c>
      <c r="F85" s="452"/>
      <c r="G85" s="452"/>
      <c r="H85" s="453"/>
      <c r="I85" s="58"/>
      <c r="J85" s="465" t="s">
        <v>102</v>
      </c>
      <c r="K85" s="465"/>
      <c r="L85" s="466"/>
      <c r="M85" s="318"/>
      <c r="N85" s="321"/>
    </row>
    <row r="86" spans="1:15" ht="17.25" customHeight="1">
      <c r="B86" s="467" t="s">
        <v>117</v>
      </c>
      <c r="C86" s="468"/>
      <c r="D86" s="469"/>
      <c r="E86" s="470">
        <f>E81+E75+E69+E61</f>
        <v>118.80000000000001</v>
      </c>
      <c r="F86" s="471"/>
      <c r="G86" s="471"/>
      <c r="H86" s="472"/>
      <c r="I86" s="473">
        <f>I81+I75+I69+I61</f>
        <v>85.8</v>
      </c>
      <c r="J86" s="474"/>
      <c r="K86" s="474"/>
      <c r="L86" s="475"/>
      <c r="M86" s="59" t="s">
        <v>104</v>
      </c>
      <c r="N86" s="59" t="s">
        <v>105</v>
      </c>
    </row>
    <row r="87" spans="1:15" ht="17.25" customHeight="1">
      <c r="A87" s="5" t="s">
        <v>5</v>
      </c>
      <c r="O87" s="5" t="s">
        <v>7</v>
      </c>
    </row>
    <row r="88" spans="1:15" ht="17.25" customHeight="1">
      <c r="B88" s="113" t="s">
        <v>118</v>
      </c>
      <c r="C88" s="114"/>
      <c r="D88" s="114"/>
      <c r="E88" s="114"/>
      <c r="F88" s="114"/>
      <c r="G88" s="114"/>
      <c r="H88" s="114"/>
      <c r="I88" s="114"/>
      <c r="J88" s="114"/>
      <c r="K88" s="114"/>
      <c r="L88" s="114"/>
      <c r="M88" s="114"/>
      <c r="N88" s="115"/>
    </row>
    <row r="89" spans="1:15" ht="17.25" customHeight="1">
      <c r="B89" s="456" t="s">
        <v>119</v>
      </c>
      <c r="C89" s="457"/>
      <c r="D89" s="458"/>
      <c r="E89" s="459" t="s">
        <v>48</v>
      </c>
      <c r="F89" s="460"/>
      <c r="G89" s="460"/>
      <c r="H89" s="460"/>
      <c r="I89" s="460"/>
      <c r="J89" s="460"/>
      <c r="K89" s="460"/>
      <c r="L89" s="460"/>
      <c r="M89" s="460"/>
      <c r="N89" s="461"/>
    </row>
    <row r="90" spans="1:15" ht="17.25" customHeight="1">
      <c r="B90" s="456" t="s">
        <v>120</v>
      </c>
      <c r="C90" s="457"/>
      <c r="D90" s="458"/>
      <c r="E90" s="459" t="s">
        <v>121</v>
      </c>
      <c r="F90" s="460"/>
      <c r="G90" s="460"/>
      <c r="H90" s="460"/>
      <c r="I90" s="460"/>
      <c r="J90" s="460"/>
      <c r="K90" s="460"/>
      <c r="L90" s="460"/>
      <c r="M90" s="460"/>
      <c r="N90" s="461"/>
    </row>
    <row r="91" spans="1:15" ht="17.25" customHeight="1">
      <c r="B91" s="456" t="s">
        <v>122</v>
      </c>
      <c r="C91" s="457"/>
      <c r="D91" s="458"/>
      <c r="E91" s="462" t="s">
        <v>123</v>
      </c>
      <c r="F91" s="463"/>
      <c r="G91" s="463"/>
      <c r="H91" s="463"/>
      <c r="I91" s="463"/>
      <c r="J91" s="463"/>
      <c r="K91" s="463"/>
      <c r="L91" s="463"/>
      <c r="M91" s="463"/>
      <c r="N91" s="464"/>
    </row>
    <row r="92" spans="1:15" ht="17.25" customHeight="1">
      <c r="B92" s="456" t="s">
        <v>124</v>
      </c>
      <c r="C92" s="457"/>
      <c r="D92" s="458"/>
      <c r="E92" s="459" t="s">
        <v>125</v>
      </c>
      <c r="F92" s="460"/>
      <c r="G92" s="460"/>
      <c r="H92" s="460"/>
      <c r="I92" s="460"/>
      <c r="J92" s="460"/>
      <c r="K92" s="460"/>
      <c r="L92" s="460"/>
      <c r="M92" s="460"/>
      <c r="N92" s="461"/>
    </row>
    <row r="93" spans="1:15" ht="17.25" customHeight="1">
      <c r="A93" s="5" t="s">
        <v>5</v>
      </c>
      <c r="O93" s="5" t="s">
        <v>7</v>
      </c>
    </row>
    <row r="94" spans="1:15" ht="17.25" customHeight="1">
      <c r="B94" s="482" t="s">
        <v>126</v>
      </c>
      <c r="C94" s="483"/>
      <c r="D94" s="483"/>
      <c r="E94" s="483"/>
      <c r="F94" s="483"/>
      <c r="G94" s="483"/>
      <c r="H94" s="483"/>
      <c r="I94" s="483"/>
      <c r="J94" s="483"/>
      <c r="K94" s="483"/>
      <c r="L94" s="483"/>
      <c r="M94" s="483"/>
      <c r="N94" s="484"/>
    </row>
    <row r="95" spans="1:15" ht="17.25" customHeight="1">
      <c r="B95" s="485" t="s">
        <v>127</v>
      </c>
      <c r="C95" s="486"/>
      <c r="D95" s="487"/>
      <c r="E95" s="74" t="s">
        <v>50</v>
      </c>
      <c r="F95" s="75"/>
      <c r="G95" s="75"/>
      <c r="H95" s="75"/>
      <c r="I95" s="75"/>
      <c r="J95" s="75"/>
      <c r="K95" s="75"/>
      <c r="L95" s="75"/>
      <c r="M95" s="75"/>
      <c r="N95" s="76"/>
    </row>
    <row r="96" spans="1:15" ht="17.25" customHeight="1">
      <c r="B96" s="485" t="s">
        <v>128</v>
      </c>
      <c r="C96" s="486"/>
      <c r="D96" s="487"/>
      <c r="E96" s="488" t="s">
        <v>129</v>
      </c>
      <c r="F96" s="489"/>
      <c r="G96" s="489"/>
      <c r="H96" s="489"/>
      <c r="I96" s="489"/>
      <c r="J96" s="489"/>
      <c r="K96" s="489"/>
      <c r="L96" s="489"/>
      <c r="M96" s="489"/>
      <c r="N96" s="490"/>
    </row>
    <row r="97" spans="1:14" ht="17.25" customHeight="1">
      <c r="B97" s="485" t="s">
        <v>130</v>
      </c>
      <c r="C97" s="486"/>
      <c r="D97" s="487"/>
      <c r="E97" s="479" t="s">
        <v>131</v>
      </c>
      <c r="F97" s="480"/>
      <c r="G97" s="480"/>
      <c r="H97" s="480"/>
      <c r="I97" s="480"/>
      <c r="J97" s="480"/>
      <c r="K97" s="480"/>
      <c r="L97" s="480"/>
      <c r="M97" s="480"/>
      <c r="N97" s="481"/>
    </row>
    <row r="98" spans="1:14" ht="17.25" customHeight="1">
      <c r="B98" s="476" t="s">
        <v>132</v>
      </c>
      <c r="C98" s="477"/>
      <c r="D98" s="478"/>
      <c r="E98" s="479" t="s">
        <v>133</v>
      </c>
      <c r="F98" s="480"/>
      <c r="G98" s="480"/>
      <c r="H98" s="480"/>
      <c r="I98" s="480"/>
      <c r="J98" s="480"/>
      <c r="K98" s="480"/>
      <c r="L98" s="480"/>
      <c r="M98" s="480"/>
      <c r="N98" s="481"/>
    </row>
    <row r="105" spans="1:14" ht="17.25" customHeight="1">
      <c r="A105" s="5" t="s">
        <v>134</v>
      </c>
    </row>
  </sheetData>
  <mergeCells count="191">
    <mergeCell ref="B98:D98"/>
    <mergeCell ref="E98:N98"/>
    <mergeCell ref="B94:N94"/>
    <mergeCell ref="B95:D95"/>
    <mergeCell ref="E95:N95"/>
    <mergeCell ref="B96:D96"/>
    <mergeCell ref="E96:N96"/>
    <mergeCell ref="B97:D97"/>
    <mergeCell ref="E97:N97"/>
    <mergeCell ref="B90:D90"/>
    <mergeCell ref="E90:N90"/>
    <mergeCell ref="B91:D91"/>
    <mergeCell ref="E91:N91"/>
    <mergeCell ref="B92:D92"/>
    <mergeCell ref="E92:N92"/>
    <mergeCell ref="J85:L85"/>
    <mergeCell ref="B86:D86"/>
    <mergeCell ref="E86:H86"/>
    <mergeCell ref="I86:L86"/>
    <mergeCell ref="B88:N88"/>
    <mergeCell ref="B89:D89"/>
    <mergeCell ref="E89:N89"/>
    <mergeCell ref="B81:D82"/>
    <mergeCell ref="E81:H81"/>
    <mergeCell ref="I81:L81"/>
    <mergeCell ref="E82:H83"/>
    <mergeCell ref="J82:L82"/>
    <mergeCell ref="B83:D85"/>
    <mergeCell ref="J83:L83"/>
    <mergeCell ref="E84:H84"/>
    <mergeCell ref="J84:L84"/>
    <mergeCell ref="E85:H85"/>
    <mergeCell ref="I69:L69"/>
    <mergeCell ref="F70:H70"/>
    <mergeCell ref="J70:L70"/>
    <mergeCell ref="F71:H71"/>
    <mergeCell ref="I71:L74"/>
    <mergeCell ref="F72:H72"/>
    <mergeCell ref="F73:H73"/>
    <mergeCell ref="F74:H74"/>
    <mergeCell ref="B75:D80"/>
    <mergeCell ref="E75:H75"/>
    <mergeCell ref="I75:L75"/>
    <mergeCell ref="F76:H76"/>
    <mergeCell ref="J76:L76"/>
    <mergeCell ref="F77:H77"/>
    <mergeCell ref="I77:L80"/>
    <mergeCell ref="F78:H78"/>
    <mergeCell ref="F79:H79"/>
    <mergeCell ref="F80:H80"/>
    <mergeCell ref="B58:N58"/>
    <mergeCell ref="B59:N59"/>
    <mergeCell ref="B60:D60"/>
    <mergeCell ref="E60:H60"/>
    <mergeCell ref="I60:L60"/>
    <mergeCell ref="B61:D68"/>
    <mergeCell ref="E61:H61"/>
    <mergeCell ref="I61:L61"/>
    <mergeCell ref="M61:M85"/>
    <mergeCell ref="N61:N85"/>
    <mergeCell ref="F65:H65"/>
    <mergeCell ref="J65:L65"/>
    <mergeCell ref="F66:H66"/>
    <mergeCell ref="I66:L68"/>
    <mergeCell ref="F67:H67"/>
    <mergeCell ref="F68:H68"/>
    <mergeCell ref="F62:H62"/>
    <mergeCell ref="J62:L62"/>
    <mergeCell ref="F63:H63"/>
    <mergeCell ref="J63:L63"/>
    <mergeCell ref="F64:H64"/>
    <mergeCell ref="J64:L64"/>
    <mergeCell ref="B69:D74"/>
    <mergeCell ref="E69:H69"/>
    <mergeCell ref="M54:M55"/>
    <mergeCell ref="E55:H55"/>
    <mergeCell ref="J55:L55"/>
    <mergeCell ref="B56:D56"/>
    <mergeCell ref="E56:H56"/>
    <mergeCell ref="I56:L56"/>
    <mergeCell ref="B51:D52"/>
    <mergeCell ref="E51:H51"/>
    <mergeCell ref="I51:L51"/>
    <mergeCell ref="M51:M52"/>
    <mergeCell ref="E52:H53"/>
    <mergeCell ref="J52:L52"/>
    <mergeCell ref="B53:D55"/>
    <mergeCell ref="J53:L53"/>
    <mergeCell ref="E54:H54"/>
    <mergeCell ref="J54:L54"/>
    <mergeCell ref="N47:N48"/>
    <mergeCell ref="F48:H48"/>
    <mergeCell ref="F49:H49"/>
    <mergeCell ref="M49:M50"/>
    <mergeCell ref="N49:N50"/>
    <mergeCell ref="F50:H50"/>
    <mergeCell ref="M44:M46"/>
    <mergeCell ref="N44:N46"/>
    <mergeCell ref="B45:D50"/>
    <mergeCell ref="E45:H45"/>
    <mergeCell ref="I45:L45"/>
    <mergeCell ref="F46:H46"/>
    <mergeCell ref="J46:L46"/>
    <mergeCell ref="F47:H47"/>
    <mergeCell ref="I47:L50"/>
    <mergeCell ref="M47:M48"/>
    <mergeCell ref="B41:D44"/>
    <mergeCell ref="F41:H41"/>
    <mergeCell ref="I41:L44"/>
    <mergeCell ref="F42:H42"/>
    <mergeCell ref="F43:H43"/>
    <mergeCell ref="F44:H44"/>
    <mergeCell ref="M37:M38"/>
    <mergeCell ref="N37:N38"/>
    <mergeCell ref="B38:D40"/>
    <mergeCell ref="E38:H38"/>
    <mergeCell ref="I38:L38"/>
    <mergeCell ref="F39:H39"/>
    <mergeCell ref="J39:L39"/>
    <mergeCell ref="F40:H40"/>
    <mergeCell ref="J40:L40"/>
    <mergeCell ref="M40:M41"/>
    <mergeCell ref="B34:D37"/>
    <mergeCell ref="F34:H34"/>
    <mergeCell ref="J34:L34"/>
    <mergeCell ref="F35:H35"/>
    <mergeCell ref="I35:L37"/>
    <mergeCell ref="F36:H36"/>
    <mergeCell ref="F37:H37"/>
    <mergeCell ref="N31:N32"/>
    <mergeCell ref="F32:H32"/>
    <mergeCell ref="J32:L32"/>
    <mergeCell ref="F33:H33"/>
    <mergeCell ref="J33:L33"/>
    <mergeCell ref="M33:M35"/>
    <mergeCell ref="N33:N35"/>
    <mergeCell ref="B28:N28"/>
    <mergeCell ref="B29:D29"/>
    <mergeCell ref="E29:H29"/>
    <mergeCell ref="I29:L29"/>
    <mergeCell ref="B30:D33"/>
    <mergeCell ref="E30:H30"/>
    <mergeCell ref="I30:L30"/>
    <mergeCell ref="F31:H31"/>
    <mergeCell ref="J31:L31"/>
    <mergeCell ref="M31:M32"/>
    <mergeCell ref="B24:B25"/>
    <mergeCell ref="C24:D24"/>
    <mergeCell ref="E24:N24"/>
    <mergeCell ref="C25:D25"/>
    <mergeCell ref="E25:N25"/>
    <mergeCell ref="B27:N27"/>
    <mergeCell ref="I22:J22"/>
    <mergeCell ref="M22:M23"/>
    <mergeCell ref="N22:N23"/>
    <mergeCell ref="C23:D23"/>
    <mergeCell ref="E23:F23"/>
    <mergeCell ref="I23:J23"/>
    <mergeCell ref="C19:C20"/>
    <mergeCell ref="E19:F19"/>
    <mergeCell ref="G19:N20"/>
    <mergeCell ref="E20:F20"/>
    <mergeCell ref="B21:B23"/>
    <mergeCell ref="C21:D21"/>
    <mergeCell ref="E21:H21"/>
    <mergeCell ref="I21:L21"/>
    <mergeCell ref="C22:D22"/>
    <mergeCell ref="E22:F22"/>
    <mergeCell ref="B13:B20"/>
    <mergeCell ref="C17:C18"/>
    <mergeCell ref="E17:F17"/>
    <mergeCell ref="G17:N18"/>
    <mergeCell ref="E18:F18"/>
    <mergeCell ref="C10:N10"/>
    <mergeCell ref="C11:N11"/>
    <mergeCell ref="C12:N12"/>
    <mergeCell ref="C13:C16"/>
    <mergeCell ref="E13:F13"/>
    <mergeCell ref="G13:N13"/>
    <mergeCell ref="E14:F14"/>
    <mergeCell ref="G14:N14"/>
    <mergeCell ref="E15:F15"/>
    <mergeCell ref="B4:N4"/>
    <mergeCell ref="C5:N5"/>
    <mergeCell ref="C6:N6"/>
    <mergeCell ref="C7:N7"/>
    <mergeCell ref="D8:N8"/>
    <mergeCell ref="C9:N9"/>
    <mergeCell ref="G15:N15"/>
    <mergeCell ref="E16:F16"/>
    <mergeCell ref="G16:N16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88E27-C01B-6540-BEA2-E999ECC433F5}">
  <dimension ref="B1:M50"/>
  <sheetViews>
    <sheetView tabSelected="1" topLeftCell="A18" zoomScale="113" workbookViewId="0">
      <selection activeCell="I29" sqref="I29"/>
    </sheetView>
  </sheetViews>
  <sheetFormatPr baseColWidth="10" defaultRowHeight="16"/>
  <cols>
    <col min="3" max="3" width="15.1640625" bestFit="1" customWidth="1"/>
    <col min="5" max="5" width="9.33203125" bestFit="1" customWidth="1"/>
    <col min="9" max="9" width="16.83203125" bestFit="1" customWidth="1"/>
    <col min="11" max="13" width="14.5" bestFit="1" customWidth="1"/>
  </cols>
  <sheetData>
    <row r="1" spans="2:13">
      <c r="E1" t="s">
        <v>159</v>
      </c>
      <c r="F1" t="s">
        <v>160</v>
      </c>
      <c r="G1" t="s">
        <v>161</v>
      </c>
      <c r="K1" t="s">
        <v>175</v>
      </c>
      <c r="L1" t="s">
        <v>176</v>
      </c>
      <c r="M1" t="s">
        <v>177</v>
      </c>
    </row>
    <row r="2" spans="2:13">
      <c r="E2">
        <v>26</v>
      </c>
      <c r="F2">
        <v>40</v>
      </c>
      <c r="G2">
        <v>40</v>
      </c>
      <c r="K2">
        <v>17</v>
      </c>
      <c r="L2">
        <v>26</v>
      </c>
      <c r="M2">
        <v>26</v>
      </c>
    </row>
    <row r="3" spans="2:13">
      <c r="B3" s="491"/>
      <c r="C3" s="492" t="s">
        <v>135</v>
      </c>
      <c r="D3" s="493">
        <v>0.25</v>
      </c>
      <c r="E3" s="494">
        <f>$E$2/$D3</f>
        <v>104</v>
      </c>
      <c r="F3" s="494">
        <f>$F$2/$D3</f>
        <v>160</v>
      </c>
      <c r="G3" s="497">
        <f>$G$2/$D3</f>
        <v>160</v>
      </c>
      <c r="I3" s="495" t="s">
        <v>162</v>
      </c>
      <c r="J3" s="496">
        <v>0.15</v>
      </c>
      <c r="K3" s="494">
        <f>$K$2/$J3</f>
        <v>113.33333333333334</v>
      </c>
      <c r="L3" s="494">
        <f>$L$2/$J3</f>
        <v>173.33333333333334</v>
      </c>
      <c r="M3" s="497">
        <f>$M$2/$J3</f>
        <v>173.33333333333334</v>
      </c>
    </row>
    <row r="4" spans="2:13">
      <c r="B4" s="491"/>
      <c r="C4" s="492" t="s">
        <v>136</v>
      </c>
      <c r="D4" s="493">
        <v>0.33</v>
      </c>
      <c r="E4" s="494">
        <f>$E$2/$D4</f>
        <v>78.787878787878782</v>
      </c>
      <c r="F4" s="494">
        <f>$F$2/$D4</f>
        <v>121.2121212121212</v>
      </c>
      <c r="G4" s="494">
        <f>$G$2/$D4</f>
        <v>121.2121212121212</v>
      </c>
      <c r="I4" s="495" t="s">
        <v>163</v>
      </c>
      <c r="J4" s="496">
        <v>0.2</v>
      </c>
      <c r="K4" s="494">
        <f t="shared" ref="K4:K12" si="0">$K$2/$J4</f>
        <v>85</v>
      </c>
      <c r="L4" s="494">
        <f t="shared" ref="L4:L12" si="1">$L$2/$J4</f>
        <v>130</v>
      </c>
      <c r="M4" s="497">
        <f t="shared" ref="M4:M12" si="2">$M$2/$J4</f>
        <v>130</v>
      </c>
    </row>
    <row r="5" spans="2:13">
      <c r="B5" s="491" t="s">
        <v>158</v>
      </c>
      <c r="C5" s="492" t="s">
        <v>137</v>
      </c>
      <c r="D5" s="493">
        <v>0.5</v>
      </c>
      <c r="E5" s="494">
        <f>$E$2/$D5</f>
        <v>52</v>
      </c>
      <c r="F5" s="494">
        <f>$F$2/$D5</f>
        <v>80</v>
      </c>
      <c r="G5" s="494">
        <f>$G$2/$D5</f>
        <v>80</v>
      </c>
      <c r="I5" s="495" t="s">
        <v>164</v>
      </c>
      <c r="J5" s="496">
        <v>0.2</v>
      </c>
      <c r="K5" s="494">
        <f t="shared" si="0"/>
        <v>85</v>
      </c>
      <c r="L5" s="494">
        <f t="shared" si="1"/>
        <v>130</v>
      </c>
      <c r="M5" s="497">
        <f t="shared" si="2"/>
        <v>130</v>
      </c>
    </row>
    <row r="6" spans="2:13">
      <c r="B6" s="491"/>
      <c r="C6" s="492" t="s">
        <v>138</v>
      </c>
      <c r="D6" s="493">
        <v>0.5</v>
      </c>
      <c r="E6" s="494">
        <f>$E$2/$D6</f>
        <v>52</v>
      </c>
      <c r="F6" s="494">
        <f>$F$2/$D6</f>
        <v>80</v>
      </c>
      <c r="G6" s="494">
        <f>$G$2/$D6</f>
        <v>80</v>
      </c>
      <c r="I6" s="495" t="s">
        <v>165</v>
      </c>
      <c r="J6" s="496">
        <v>0.25</v>
      </c>
      <c r="K6" s="494">
        <f t="shared" si="0"/>
        <v>68</v>
      </c>
      <c r="L6" s="494">
        <f t="shared" si="1"/>
        <v>104</v>
      </c>
      <c r="M6" s="494">
        <f t="shared" si="2"/>
        <v>104</v>
      </c>
    </row>
    <row r="7" spans="2:13">
      <c r="B7" s="491"/>
      <c r="C7" s="492" t="s">
        <v>139</v>
      </c>
      <c r="D7" s="493">
        <v>0.75</v>
      </c>
      <c r="E7" s="494">
        <f>$E$2/$D7</f>
        <v>34.666666666666664</v>
      </c>
      <c r="F7" s="494">
        <f>$F$2/$D7</f>
        <v>53.333333333333336</v>
      </c>
      <c r="G7" s="497">
        <f>$G$2/$D7</f>
        <v>53.333333333333336</v>
      </c>
      <c r="I7" s="495" t="s">
        <v>166</v>
      </c>
      <c r="J7" s="496">
        <v>0.3</v>
      </c>
      <c r="K7" s="494">
        <f t="shared" si="0"/>
        <v>56.666666666666671</v>
      </c>
      <c r="L7" s="494">
        <f t="shared" si="1"/>
        <v>86.666666666666671</v>
      </c>
      <c r="M7" s="494">
        <f t="shared" si="2"/>
        <v>86.666666666666671</v>
      </c>
    </row>
    <row r="8" spans="2:13">
      <c r="B8" s="491"/>
      <c r="C8" s="492" t="s">
        <v>140</v>
      </c>
      <c r="D8" s="493">
        <v>0.75</v>
      </c>
      <c r="E8" s="494">
        <f>$E$2/$D8</f>
        <v>34.666666666666664</v>
      </c>
      <c r="F8" s="494">
        <f>$F$2/$D8</f>
        <v>53.333333333333336</v>
      </c>
      <c r="G8" s="494">
        <f>$G$2/$D8</f>
        <v>53.333333333333336</v>
      </c>
      <c r="I8" s="495" t="s">
        <v>167</v>
      </c>
      <c r="J8" s="496">
        <v>0.4</v>
      </c>
      <c r="K8" s="494">
        <f t="shared" si="0"/>
        <v>42.5</v>
      </c>
      <c r="L8" s="494">
        <f t="shared" si="1"/>
        <v>65</v>
      </c>
      <c r="M8" s="494">
        <f t="shared" si="2"/>
        <v>65</v>
      </c>
    </row>
    <row r="9" spans="2:13">
      <c r="B9" s="491"/>
      <c r="C9" s="492" t="s">
        <v>141</v>
      </c>
      <c r="D9" s="493">
        <v>0.6</v>
      </c>
      <c r="E9" s="494">
        <f>$E$2/$D9</f>
        <v>43.333333333333336</v>
      </c>
      <c r="F9" s="494">
        <f>$F$2/$D9</f>
        <v>66.666666666666671</v>
      </c>
      <c r="G9" s="494">
        <f>$G$2/$D9</f>
        <v>66.666666666666671</v>
      </c>
      <c r="I9" s="495" t="s">
        <v>168</v>
      </c>
      <c r="J9" s="496">
        <v>0.75</v>
      </c>
      <c r="K9" s="494">
        <f t="shared" si="0"/>
        <v>22.666666666666668</v>
      </c>
      <c r="L9" s="494">
        <f t="shared" si="1"/>
        <v>34.666666666666664</v>
      </c>
      <c r="M9" s="494">
        <f t="shared" si="2"/>
        <v>34.666666666666664</v>
      </c>
    </row>
    <row r="10" spans="2:13">
      <c r="B10" s="491"/>
      <c r="C10" s="492" t="s">
        <v>142</v>
      </c>
      <c r="D10" s="493">
        <v>0.3</v>
      </c>
      <c r="E10" s="494">
        <f>$E$2/$D10</f>
        <v>86.666666666666671</v>
      </c>
      <c r="F10" s="494">
        <f>$F$2/$D10</f>
        <v>133.33333333333334</v>
      </c>
      <c r="G10" s="494">
        <f>$G$2/$D10</f>
        <v>133.33333333333334</v>
      </c>
      <c r="I10" s="495" t="s">
        <v>169</v>
      </c>
      <c r="J10" s="496">
        <v>0.35</v>
      </c>
      <c r="K10" s="494">
        <f t="shared" si="0"/>
        <v>48.571428571428577</v>
      </c>
      <c r="L10" s="494">
        <f t="shared" si="1"/>
        <v>74.285714285714292</v>
      </c>
      <c r="M10" s="494">
        <f t="shared" si="2"/>
        <v>74.285714285714292</v>
      </c>
    </row>
    <row r="11" spans="2:13">
      <c r="B11" s="491"/>
      <c r="C11" s="492" t="s">
        <v>143</v>
      </c>
      <c r="D11" s="493">
        <v>0.23</v>
      </c>
      <c r="E11" s="494">
        <f>$E$2/$D11</f>
        <v>113.04347826086956</v>
      </c>
      <c r="F11" s="494">
        <f>$F$2/$D11</f>
        <v>173.91304347826087</v>
      </c>
      <c r="G11" s="494">
        <f>$G$2/$D11</f>
        <v>173.91304347826087</v>
      </c>
      <c r="I11" s="495" t="s">
        <v>170</v>
      </c>
      <c r="J11" s="496">
        <v>7.0000000000000007E-2</v>
      </c>
      <c r="K11" s="494">
        <f t="shared" si="0"/>
        <v>242.85714285714283</v>
      </c>
      <c r="L11" s="494">
        <f t="shared" si="1"/>
        <v>371.42857142857139</v>
      </c>
      <c r="M11" s="494">
        <f t="shared" si="2"/>
        <v>371.42857142857139</v>
      </c>
    </row>
    <row r="12" spans="2:13">
      <c r="B12" s="491"/>
      <c r="C12" s="492" t="s">
        <v>144</v>
      </c>
      <c r="D12" s="493">
        <v>0.5</v>
      </c>
      <c r="E12" s="494">
        <f>$E$2/$D12</f>
        <v>52</v>
      </c>
      <c r="F12" s="494">
        <f>$F$2/$D12</f>
        <v>80</v>
      </c>
      <c r="G12" s="494">
        <f>$G$2/$D12</f>
        <v>80</v>
      </c>
      <c r="I12" s="495" t="s">
        <v>171</v>
      </c>
      <c r="J12" s="496">
        <v>0.03</v>
      </c>
      <c r="K12" s="494">
        <f t="shared" si="0"/>
        <v>566.66666666666674</v>
      </c>
      <c r="L12" s="494">
        <f t="shared" si="1"/>
        <v>866.66666666666674</v>
      </c>
      <c r="M12" s="494">
        <f t="shared" si="2"/>
        <v>866.66666666666674</v>
      </c>
    </row>
    <row r="13" spans="2:13">
      <c r="B13" s="491" t="s">
        <v>145</v>
      </c>
      <c r="C13" s="492" t="s">
        <v>146</v>
      </c>
      <c r="D13" s="493">
        <v>0.18</v>
      </c>
      <c r="E13" s="494">
        <f>$E$2/$D13</f>
        <v>144.44444444444446</v>
      </c>
      <c r="F13" s="494">
        <f>$F$2/$D13</f>
        <v>222.22222222222223</v>
      </c>
      <c r="G13" s="494">
        <f>$G$2/$D13</f>
        <v>222.22222222222223</v>
      </c>
    </row>
    <row r="14" spans="2:13">
      <c r="B14" s="491"/>
      <c r="C14" s="492" t="s">
        <v>147</v>
      </c>
      <c r="D14" s="493">
        <v>0.23</v>
      </c>
      <c r="E14" s="494">
        <f>$E$2/$D14</f>
        <v>113.04347826086956</v>
      </c>
      <c r="F14" s="494">
        <f>$F$2/$D14</f>
        <v>173.91304347826087</v>
      </c>
      <c r="G14" s="494">
        <f>$G$2/$D14</f>
        <v>173.91304347826087</v>
      </c>
    </row>
    <row r="15" spans="2:13">
      <c r="B15" s="491"/>
      <c r="C15" s="492" t="s">
        <v>148</v>
      </c>
      <c r="D15" s="493">
        <v>0.18</v>
      </c>
      <c r="E15" s="494">
        <f>$E$2/$D15</f>
        <v>144.44444444444446</v>
      </c>
      <c r="F15" s="494">
        <f>$F$2/$D15</f>
        <v>222.22222222222223</v>
      </c>
      <c r="G15" s="494">
        <f>$G$2/$D15</f>
        <v>222.22222222222223</v>
      </c>
    </row>
    <row r="16" spans="2:13">
      <c r="B16" s="491"/>
      <c r="C16" s="492" t="s">
        <v>149</v>
      </c>
      <c r="D16" s="493">
        <v>0.23</v>
      </c>
      <c r="E16" s="494">
        <f>$E$2/$D16</f>
        <v>113.04347826086956</v>
      </c>
      <c r="F16" s="494">
        <f>$F$2/$D16</f>
        <v>173.91304347826087</v>
      </c>
      <c r="G16" s="494">
        <f>$G$2/$D16</f>
        <v>173.91304347826087</v>
      </c>
    </row>
    <row r="17" spans="2:13">
      <c r="B17" s="491"/>
      <c r="C17" s="492" t="s">
        <v>150</v>
      </c>
      <c r="D17" s="493">
        <v>0.84</v>
      </c>
      <c r="E17" s="494">
        <f>$E$2/$D17</f>
        <v>30.952380952380953</v>
      </c>
      <c r="F17" s="494">
        <f>$F$2/$D17</f>
        <v>47.61904761904762</v>
      </c>
      <c r="G17" s="494">
        <f>$G$2/$D17</f>
        <v>47.61904761904762</v>
      </c>
    </row>
    <row r="18" spans="2:13">
      <c r="B18" s="491"/>
      <c r="C18" s="492" t="s">
        <v>151</v>
      </c>
      <c r="D18" s="493">
        <v>0.2</v>
      </c>
      <c r="E18" s="494">
        <f>$E$2/$D18</f>
        <v>130</v>
      </c>
      <c r="F18" s="494">
        <f>$F$2/$D18</f>
        <v>200</v>
      </c>
      <c r="G18" s="494">
        <f>$G$2/$D18</f>
        <v>200</v>
      </c>
    </row>
    <row r="19" spans="2:13">
      <c r="B19" s="491"/>
      <c r="C19" s="492" t="s">
        <v>152</v>
      </c>
      <c r="D19" s="493">
        <v>0.35</v>
      </c>
      <c r="E19" s="494">
        <f>$E$2/$D19</f>
        <v>74.285714285714292</v>
      </c>
      <c r="F19" s="494">
        <f>$F$2/$D19</f>
        <v>114.28571428571429</v>
      </c>
      <c r="G19" s="494">
        <f>$G$2/$D19</f>
        <v>114.28571428571429</v>
      </c>
    </row>
    <row r="20" spans="2:13">
      <c r="B20" s="491"/>
      <c r="C20" s="492" t="s">
        <v>153</v>
      </c>
      <c r="D20" s="493">
        <v>0.21</v>
      </c>
      <c r="E20" s="494">
        <f>$E$2/$D20</f>
        <v>123.80952380952381</v>
      </c>
      <c r="F20" s="494">
        <f>$F$2/$D20</f>
        <v>190.47619047619048</v>
      </c>
      <c r="G20" s="494">
        <f>$G$2/$D20</f>
        <v>190.47619047619048</v>
      </c>
    </row>
    <row r="21" spans="2:13">
      <c r="B21" s="491"/>
      <c r="C21" s="492" t="s">
        <v>154</v>
      </c>
      <c r="D21" s="493">
        <v>0.05</v>
      </c>
      <c r="E21" s="494">
        <f>$E$2/$D21</f>
        <v>520</v>
      </c>
      <c r="F21" s="494">
        <f>$F$2/$D21</f>
        <v>800</v>
      </c>
      <c r="G21" s="494">
        <f>$G$2/$D21</f>
        <v>800</v>
      </c>
    </row>
    <row r="22" spans="2:13">
      <c r="B22" s="491"/>
      <c r="C22" s="492" t="s">
        <v>155</v>
      </c>
      <c r="D22" s="493">
        <v>0.12</v>
      </c>
      <c r="E22" s="494">
        <f>$E$2/$D22</f>
        <v>216.66666666666669</v>
      </c>
      <c r="F22" s="494">
        <f>$F$2/$D22</f>
        <v>333.33333333333337</v>
      </c>
      <c r="G22" s="494">
        <f>$G$2/$D22</f>
        <v>333.33333333333337</v>
      </c>
    </row>
    <row r="23" spans="2:13">
      <c r="B23" s="491"/>
      <c r="C23" s="492" t="s">
        <v>156</v>
      </c>
      <c r="D23" s="493">
        <v>0.45</v>
      </c>
      <c r="E23" s="494">
        <f>$E$2/$D23</f>
        <v>57.777777777777779</v>
      </c>
      <c r="F23" s="494">
        <f>$F$2/$D23</f>
        <v>88.888888888888886</v>
      </c>
      <c r="G23" s="494">
        <f>$G$2/$D23</f>
        <v>88.888888888888886</v>
      </c>
    </row>
    <row r="24" spans="2:13">
      <c r="B24" s="491"/>
      <c r="C24" s="492" t="s">
        <v>157</v>
      </c>
      <c r="D24" s="493">
        <v>0.6</v>
      </c>
      <c r="E24" s="494">
        <f>$E$2/$D24</f>
        <v>43.333333333333336</v>
      </c>
      <c r="F24" s="494">
        <f>$F$2/$D24</f>
        <v>66.666666666666671</v>
      </c>
      <c r="G24" s="494">
        <f>$G$2/$D24</f>
        <v>66.666666666666671</v>
      </c>
    </row>
    <row r="27" spans="2:13">
      <c r="E27" t="s">
        <v>172</v>
      </c>
      <c r="F27" t="s">
        <v>173</v>
      </c>
      <c r="G27" t="s">
        <v>174</v>
      </c>
    </row>
    <row r="28" spans="2:13">
      <c r="E28">
        <v>32</v>
      </c>
      <c r="F28">
        <v>63</v>
      </c>
      <c r="G28">
        <v>48</v>
      </c>
    </row>
    <row r="29" spans="2:13">
      <c r="B29" s="491"/>
      <c r="C29" s="492" t="s">
        <v>135</v>
      </c>
      <c r="D29" s="493">
        <v>0.25</v>
      </c>
      <c r="E29" s="494">
        <f>$E$28/$D29</f>
        <v>128</v>
      </c>
      <c r="F29" s="494">
        <f>$F$28/$D29</f>
        <v>252</v>
      </c>
      <c r="G29" s="494">
        <f>$G$28/$D29</f>
        <v>192</v>
      </c>
      <c r="K29" s="494"/>
      <c r="L29" s="494"/>
      <c r="M29" s="494"/>
    </row>
    <row r="30" spans="2:13">
      <c r="B30" s="491"/>
      <c r="C30" s="492" t="s">
        <v>136</v>
      </c>
      <c r="D30" s="493">
        <v>0.33</v>
      </c>
      <c r="E30" s="494">
        <f t="shared" ref="E30:E50" si="3">$E$28/$D30</f>
        <v>96.969696969696969</v>
      </c>
      <c r="F30" s="494">
        <f t="shared" ref="F30:F50" si="4">$F$28/$D30</f>
        <v>190.90909090909091</v>
      </c>
      <c r="G30" s="494">
        <f t="shared" ref="G30:G50" si="5">$G$28/$D30</f>
        <v>145.45454545454544</v>
      </c>
      <c r="K30" s="494"/>
      <c r="L30" s="494"/>
      <c r="M30" s="494"/>
    </row>
    <row r="31" spans="2:13">
      <c r="B31" s="491" t="s">
        <v>158</v>
      </c>
      <c r="C31" s="492" t="s">
        <v>137</v>
      </c>
      <c r="D31" s="493">
        <v>0.5</v>
      </c>
      <c r="E31" s="494">
        <f t="shared" si="3"/>
        <v>64</v>
      </c>
      <c r="F31" s="494">
        <f t="shared" si="4"/>
        <v>126</v>
      </c>
      <c r="G31" s="494">
        <f t="shared" si="5"/>
        <v>96</v>
      </c>
      <c r="K31" s="494"/>
      <c r="L31" s="494"/>
      <c r="M31" s="494"/>
    </row>
    <row r="32" spans="2:13">
      <c r="B32" s="491"/>
      <c r="C32" s="492" t="s">
        <v>138</v>
      </c>
      <c r="D32" s="493">
        <v>0.5</v>
      </c>
      <c r="E32" s="494">
        <f t="shared" si="3"/>
        <v>64</v>
      </c>
      <c r="F32" s="494">
        <f t="shared" si="4"/>
        <v>126</v>
      </c>
      <c r="G32" s="494">
        <f t="shared" si="5"/>
        <v>96</v>
      </c>
      <c r="K32" s="494"/>
      <c r="L32" s="494"/>
      <c r="M32" s="494"/>
    </row>
    <row r="33" spans="2:13">
      <c r="B33" s="491"/>
      <c r="C33" s="492" t="s">
        <v>139</v>
      </c>
      <c r="D33" s="493">
        <v>0.75</v>
      </c>
      <c r="E33" s="494">
        <f t="shared" si="3"/>
        <v>42.666666666666664</v>
      </c>
      <c r="F33" s="494">
        <f t="shared" si="4"/>
        <v>84</v>
      </c>
      <c r="G33" s="494">
        <f t="shared" si="5"/>
        <v>64</v>
      </c>
      <c r="K33" s="494"/>
      <c r="L33" s="494"/>
      <c r="M33" s="494"/>
    </row>
    <row r="34" spans="2:13">
      <c r="B34" s="491"/>
      <c r="C34" s="492" t="s">
        <v>140</v>
      </c>
      <c r="D34" s="493">
        <v>0.75</v>
      </c>
      <c r="E34" s="494">
        <f t="shared" si="3"/>
        <v>42.666666666666664</v>
      </c>
      <c r="F34" s="494">
        <f t="shared" si="4"/>
        <v>84</v>
      </c>
      <c r="G34" s="494">
        <f t="shared" si="5"/>
        <v>64</v>
      </c>
      <c r="K34" s="494"/>
      <c r="L34" s="494"/>
      <c r="M34" s="494"/>
    </row>
    <row r="35" spans="2:13">
      <c r="B35" s="491"/>
      <c r="C35" s="492" t="s">
        <v>141</v>
      </c>
      <c r="D35" s="493">
        <v>0.6</v>
      </c>
      <c r="E35" s="494">
        <f t="shared" si="3"/>
        <v>53.333333333333336</v>
      </c>
      <c r="F35" s="494">
        <f t="shared" si="4"/>
        <v>105</v>
      </c>
      <c r="G35" s="494">
        <f t="shared" si="5"/>
        <v>80</v>
      </c>
      <c r="K35" s="494"/>
      <c r="L35" s="494"/>
      <c r="M35" s="494"/>
    </row>
    <row r="36" spans="2:13">
      <c r="B36" s="491"/>
      <c r="C36" s="492" t="s">
        <v>142</v>
      </c>
      <c r="D36" s="493">
        <v>0.3</v>
      </c>
      <c r="E36" s="494">
        <f t="shared" si="3"/>
        <v>106.66666666666667</v>
      </c>
      <c r="F36" s="494">
        <f t="shared" si="4"/>
        <v>210</v>
      </c>
      <c r="G36" s="494">
        <f t="shared" si="5"/>
        <v>160</v>
      </c>
      <c r="K36" s="494"/>
      <c r="L36" s="494"/>
      <c r="M36" s="494"/>
    </row>
    <row r="37" spans="2:13">
      <c r="B37" s="491"/>
      <c r="C37" s="492" t="s">
        <v>143</v>
      </c>
      <c r="D37" s="493">
        <v>0.23</v>
      </c>
      <c r="E37" s="494">
        <f t="shared" si="3"/>
        <v>139.13043478260869</v>
      </c>
      <c r="F37" s="494">
        <f t="shared" si="4"/>
        <v>273.91304347826087</v>
      </c>
      <c r="G37" s="494">
        <f t="shared" si="5"/>
        <v>208.69565217391303</v>
      </c>
      <c r="K37" s="494"/>
      <c r="L37" s="494"/>
      <c r="M37" s="494"/>
    </row>
    <row r="38" spans="2:13">
      <c r="B38" s="491"/>
      <c r="C38" s="492" t="s">
        <v>144</v>
      </c>
      <c r="D38" s="493">
        <v>0.5</v>
      </c>
      <c r="E38" s="494">
        <f t="shared" si="3"/>
        <v>64</v>
      </c>
      <c r="F38" s="494">
        <f t="shared" si="4"/>
        <v>126</v>
      </c>
      <c r="G38" s="494">
        <f t="shared" si="5"/>
        <v>96</v>
      </c>
      <c r="K38" s="494"/>
      <c r="L38" s="494"/>
      <c r="M38" s="494"/>
    </row>
    <row r="39" spans="2:13">
      <c r="B39" s="491" t="s">
        <v>145</v>
      </c>
      <c r="C39" s="492" t="s">
        <v>146</v>
      </c>
      <c r="D39" s="493">
        <v>0.18</v>
      </c>
      <c r="E39" s="494">
        <f t="shared" si="3"/>
        <v>177.77777777777777</v>
      </c>
      <c r="F39" s="494">
        <f t="shared" si="4"/>
        <v>350</v>
      </c>
      <c r="G39" s="494">
        <f>$G$28/$D39</f>
        <v>266.66666666666669</v>
      </c>
    </row>
    <row r="40" spans="2:13">
      <c r="B40" s="491"/>
      <c r="C40" s="492" t="s">
        <v>147</v>
      </c>
      <c r="D40" s="493">
        <v>0.23</v>
      </c>
      <c r="E40" s="494">
        <f t="shared" si="3"/>
        <v>139.13043478260869</v>
      </c>
      <c r="F40" s="494">
        <f t="shared" si="4"/>
        <v>273.91304347826087</v>
      </c>
      <c r="G40" s="494">
        <f t="shared" si="5"/>
        <v>208.69565217391303</v>
      </c>
    </row>
    <row r="41" spans="2:13">
      <c r="B41" s="491"/>
      <c r="C41" s="492" t="s">
        <v>148</v>
      </c>
      <c r="D41" s="493">
        <v>0.18</v>
      </c>
      <c r="E41" s="494">
        <f t="shared" si="3"/>
        <v>177.77777777777777</v>
      </c>
      <c r="F41" s="494">
        <f t="shared" si="4"/>
        <v>350</v>
      </c>
      <c r="G41" s="494">
        <f t="shared" si="5"/>
        <v>266.66666666666669</v>
      </c>
    </row>
    <row r="42" spans="2:13">
      <c r="B42" s="491"/>
      <c r="C42" s="492" t="s">
        <v>149</v>
      </c>
      <c r="D42" s="493">
        <v>0.23</v>
      </c>
      <c r="E42" s="494">
        <f t="shared" si="3"/>
        <v>139.13043478260869</v>
      </c>
      <c r="F42" s="494">
        <f t="shared" si="4"/>
        <v>273.91304347826087</v>
      </c>
      <c r="G42" s="494">
        <f t="shared" si="5"/>
        <v>208.69565217391303</v>
      </c>
    </row>
    <row r="43" spans="2:13">
      <c r="B43" s="491"/>
      <c r="C43" s="492" t="s">
        <v>150</v>
      </c>
      <c r="D43" s="493">
        <v>0.84</v>
      </c>
      <c r="E43" s="494">
        <f t="shared" si="3"/>
        <v>38.095238095238095</v>
      </c>
      <c r="F43" s="494">
        <f t="shared" si="4"/>
        <v>75</v>
      </c>
      <c r="G43" s="494">
        <f t="shared" si="5"/>
        <v>57.142857142857146</v>
      </c>
    </row>
    <row r="44" spans="2:13">
      <c r="B44" s="491"/>
      <c r="C44" s="492" t="s">
        <v>151</v>
      </c>
      <c r="D44" s="493">
        <v>0.2</v>
      </c>
      <c r="E44" s="494">
        <f t="shared" si="3"/>
        <v>160</v>
      </c>
      <c r="F44" s="494">
        <f t="shared" si="4"/>
        <v>315</v>
      </c>
      <c r="G44" s="494">
        <f t="shared" si="5"/>
        <v>240</v>
      </c>
    </row>
    <row r="45" spans="2:13">
      <c r="B45" s="491"/>
      <c r="C45" s="492" t="s">
        <v>152</v>
      </c>
      <c r="D45" s="493">
        <v>0.35</v>
      </c>
      <c r="E45" s="494">
        <f t="shared" si="3"/>
        <v>91.428571428571431</v>
      </c>
      <c r="F45" s="494">
        <f t="shared" si="4"/>
        <v>180</v>
      </c>
      <c r="G45" s="494">
        <f t="shared" si="5"/>
        <v>137.14285714285714</v>
      </c>
    </row>
    <row r="46" spans="2:13">
      <c r="B46" s="491"/>
      <c r="C46" s="492" t="s">
        <v>153</v>
      </c>
      <c r="D46" s="493">
        <v>0.21</v>
      </c>
      <c r="E46" s="494">
        <f t="shared" si="3"/>
        <v>152.38095238095238</v>
      </c>
      <c r="F46" s="494">
        <f t="shared" si="4"/>
        <v>300</v>
      </c>
      <c r="G46" s="494">
        <f t="shared" si="5"/>
        <v>228.57142857142858</v>
      </c>
    </row>
    <row r="47" spans="2:13">
      <c r="B47" s="491"/>
      <c r="C47" s="492" t="s">
        <v>154</v>
      </c>
      <c r="D47" s="493">
        <v>0.05</v>
      </c>
      <c r="E47" s="494">
        <f t="shared" si="3"/>
        <v>640</v>
      </c>
      <c r="F47" s="494">
        <f t="shared" si="4"/>
        <v>1260</v>
      </c>
      <c r="G47" s="494">
        <f t="shared" si="5"/>
        <v>960</v>
      </c>
    </row>
    <row r="48" spans="2:13">
      <c r="B48" s="491"/>
      <c r="C48" s="492" t="s">
        <v>155</v>
      </c>
      <c r="D48" s="493">
        <v>0.12</v>
      </c>
      <c r="E48" s="494">
        <f t="shared" si="3"/>
        <v>266.66666666666669</v>
      </c>
      <c r="F48" s="494">
        <f t="shared" si="4"/>
        <v>525</v>
      </c>
      <c r="G48" s="494">
        <f t="shared" si="5"/>
        <v>400</v>
      </c>
    </row>
    <row r="49" spans="2:7">
      <c r="B49" s="491"/>
      <c r="C49" s="492" t="s">
        <v>156</v>
      </c>
      <c r="D49" s="493">
        <v>0.45</v>
      </c>
      <c r="E49" s="494">
        <f t="shared" si="3"/>
        <v>71.111111111111114</v>
      </c>
      <c r="F49" s="494">
        <f t="shared" si="4"/>
        <v>140</v>
      </c>
      <c r="G49" s="494">
        <f t="shared" si="5"/>
        <v>106.66666666666666</v>
      </c>
    </row>
    <row r="50" spans="2:7">
      <c r="B50" s="491"/>
      <c r="C50" s="492" t="s">
        <v>157</v>
      </c>
      <c r="D50" s="493">
        <v>0.6</v>
      </c>
      <c r="E50" s="494">
        <f t="shared" si="3"/>
        <v>53.333333333333336</v>
      </c>
      <c r="F50" s="494">
        <f t="shared" si="4"/>
        <v>105</v>
      </c>
      <c r="G50" s="494">
        <f t="shared" si="5"/>
        <v>80</v>
      </c>
    </row>
  </sheetData>
  <mergeCells count="6">
    <mergeCell ref="B39:B50"/>
    <mergeCell ref="B3:B4"/>
    <mergeCell ref="B5:B12"/>
    <mergeCell ref="B13:B24"/>
    <mergeCell ref="B29:B30"/>
    <mergeCell ref="B31:B38"/>
  </mergeCells>
  <pageMargins left="0.7" right="0.7" top="0.75" bottom="0.75" header="0.3" footer="0.3"/>
  <ignoredErrors>
    <ignoredError sqref="F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2减脂-早饭后练（晚起版）</vt:lpstr>
      <vt:lpstr>食物重量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B3891</dc:creator>
  <cp:lastModifiedBy>B3891</cp:lastModifiedBy>
  <dcterms:created xsi:type="dcterms:W3CDTF">2025-07-10T14:03:14Z</dcterms:created>
  <dcterms:modified xsi:type="dcterms:W3CDTF">2025-08-27T00:56:08Z</dcterms:modified>
</cp:coreProperties>
</file>