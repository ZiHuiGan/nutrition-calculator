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gambby/Desktop/兴趣/Nutrition/"/>
    </mc:Choice>
  </mc:AlternateContent>
  <xr:revisionPtr revIDLastSave="0" documentId="13_ncr:1_{F0485755-D096-AE4D-AD73-C364C57AC83C}" xr6:coauthVersionLast="47" xr6:coauthVersionMax="47" xr10:uidLastSave="{00000000-0000-0000-0000-000000000000}"/>
  <bookViews>
    <workbookView xWindow="23860" yWindow="1780" windowWidth="28800" windowHeight="17500" firstSheet="5" activeTab="10" xr2:uid="{00000000-000D-0000-FFFF-FFFF00000000}"/>
  </bookViews>
  <sheets>
    <sheet name="碳蛋配比-男性力训" sheetId="40" r:id="rId1"/>
    <sheet name="碳蛋配比-男性休息" sheetId="41" r:id="rId2"/>
    <sheet name="碳蛋配比-女性力训" sheetId="42" r:id="rId3"/>
    <sheet name="碳蛋配比-女性休息" sheetId="43" r:id="rId4"/>
    <sheet name="减脂-晚饭前练" sheetId="37" r:id="rId5"/>
    <sheet name="减脂-晚饭后练" sheetId="38" r:id="rId6"/>
    <sheet name="减脂-夜里练" sheetId="39" r:id="rId7"/>
    <sheet name="减脂-早饭后练（晚起版）" sheetId="34" r:id="rId8"/>
    <sheet name="减脂-午饭前练" sheetId="35" r:id="rId9"/>
    <sheet name="减脂-午饭后练" sheetId="36" r:id="rId10"/>
    <sheet name="减脂-早饭后练（早起版）" sheetId="1" r:id="rId11"/>
    <sheet name="有氧热量消耗" sheetId="5" r:id="rId12"/>
    <sheet name="日常食物营养率" sheetId="33" r:id="rId13"/>
  </sheets>
  <definedNames>
    <definedName name="_xlnm._FilterDatabase" localSheetId="6" hidden="1">'减脂-夜里练'!$A$4:$T$104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2" i="34" l="1"/>
  <c r="J76" i="34"/>
  <c r="F76" i="34"/>
  <c r="J70" i="34"/>
  <c r="L23" i="34"/>
  <c r="H23" i="34"/>
  <c r="E75" i="34" s="1"/>
  <c r="L22" i="34"/>
  <c r="I30" i="34" s="1"/>
  <c r="I61" i="34" s="1"/>
  <c r="H22" i="34"/>
  <c r="E45" i="34" s="1"/>
  <c r="E13" i="34"/>
  <c r="E14" i="34" s="1"/>
  <c r="C8" i="34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F49" i="34" l="1"/>
  <c r="F46" i="34"/>
  <c r="E18" i="34"/>
  <c r="E20" i="34" s="1"/>
  <c r="E17" i="34"/>
  <c r="E19" i="34" s="1"/>
  <c r="I45" i="34"/>
  <c r="E61" i="34"/>
  <c r="F68" i="34" s="1"/>
  <c r="E38" i="34"/>
  <c r="I38" i="34"/>
  <c r="E69" i="34"/>
  <c r="F70" i="34" s="1"/>
  <c r="E81" i="34"/>
  <c r="E51" i="34"/>
  <c r="E30" i="34"/>
  <c r="I51" i="34"/>
  <c r="I56" i="34" l="1"/>
  <c r="I81" i="34"/>
  <c r="E56" i="34"/>
  <c r="J46" i="34"/>
  <c r="I75" i="34"/>
  <c r="E86" i="34"/>
  <c r="I69" i="34"/>
  <c r="J39" i="34"/>
  <c r="F43" i="34"/>
  <c r="F39" i="34"/>
  <c r="F37" i="34"/>
  <c r="F34" i="34"/>
  <c r="I86" i="3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tc={9C46EB64-537A-664F-8723-336438A58349}</author>
    <author>tc={77811DE3-D277-574E-9A86-6CCBEB77EA5A}</author>
  </authors>
  <commentList>
    <comment ref="F34" authorId="0" shapeId="0" xr:uid="{9C46EB64-537A-664F-8723-336438A58349}">
      <text>
        <t>[Threaded comment]
Your version of Excel allows you to read this threaded comment; however, any edits to it will get removed if the file is opened in a newer version of Excel. Learn more: https://go.microsoft.com/fwlink/?linkid=870924
Comment:
    相当于一根Costco普通甜玉米</t>
      </text>
    </comment>
    <comment ref="J39" authorId="1" shapeId="0" xr:uid="{77811DE3-D277-574E-9A86-6CCBEB77EA5A}">
      <text>
        <t>[Threaded comment]
Your version of Excel allows you to read this threaded comment; however, any edits to it will get removed if the file is opened in a newer version of Excel. Learn more: https://go.microsoft.com/fwlink/?linkid=870924
Comment:
    海产是15%；牛/鸡是20%</t>
      </text>
    </comment>
  </commentList>
</comments>
</file>

<file path=xl/sharedStrings.xml><?xml version="1.0" encoding="utf-8"?>
<sst xmlns="http://schemas.openxmlformats.org/spreadsheetml/2006/main" count="2490" uniqueCount="593">
  <si>
    <t>每kg体重消耗</t>
    <phoneticPr fontId="4" type="noConversion"/>
  </si>
  <si>
    <t>篮球</t>
    <phoneticPr fontId="4" type="noConversion"/>
  </si>
  <si>
    <t>足球</t>
    <phoneticPr fontId="4" type="noConversion"/>
  </si>
  <si>
    <t>排球</t>
    <phoneticPr fontId="4" type="noConversion"/>
  </si>
  <si>
    <t>网球</t>
    <phoneticPr fontId="4" type="noConversion"/>
  </si>
  <si>
    <t>乒乓球</t>
    <phoneticPr fontId="4" type="noConversion"/>
  </si>
  <si>
    <t>羽毛球</t>
    <phoneticPr fontId="4" type="noConversion"/>
  </si>
  <si>
    <t>瑜伽</t>
    <phoneticPr fontId="4" type="noConversion"/>
  </si>
  <si>
    <t>舞蹈</t>
    <phoneticPr fontId="4" type="noConversion"/>
  </si>
  <si>
    <t>健身环</t>
    <phoneticPr fontId="4" type="noConversion"/>
  </si>
  <si>
    <t>室内单车</t>
    <phoneticPr fontId="4" type="noConversion"/>
  </si>
  <si>
    <t>功率50-90W</t>
    <phoneticPr fontId="4" type="noConversion"/>
  </si>
  <si>
    <t>功率90-100W</t>
    <phoneticPr fontId="4" type="noConversion"/>
  </si>
  <si>
    <t>功率100-160W</t>
    <phoneticPr fontId="4" type="noConversion"/>
  </si>
  <si>
    <t>功率160-200W</t>
    <phoneticPr fontId="4" type="noConversion"/>
  </si>
  <si>
    <t>功率200-270W</t>
    <phoneticPr fontId="4" type="noConversion"/>
  </si>
  <si>
    <t>功率100W</t>
    <phoneticPr fontId="4" type="noConversion"/>
  </si>
  <si>
    <t>功率150W</t>
    <phoneticPr fontId="4" type="noConversion"/>
  </si>
  <si>
    <t>功率200W</t>
    <phoneticPr fontId="4" type="noConversion"/>
  </si>
  <si>
    <t>中等强度</t>
    <phoneticPr fontId="4" type="noConversion"/>
  </si>
  <si>
    <t>剧烈强度</t>
    <phoneticPr fontId="4" type="noConversion"/>
  </si>
  <si>
    <t>拳击</t>
    <phoneticPr fontId="4" type="noConversion"/>
  </si>
  <si>
    <t>打沙袋</t>
    <phoneticPr fontId="4" type="noConversion"/>
  </si>
  <si>
    <t>上楼</t>
    <phoneticPr fontId="4" type="noConversion"/>
  </si>
  <si>
    <t>下楼</t>
    <phoneticPr fontId="4" type="noConversion"/>
  </si>
  <si>
    <t>跳绳</t>
    <phoneticPr fontId="4" type="noConversion"/>
  </si>
  <si>
    <t>椭圆仪</t>
    <phoneticPr fontId="4" type="noConversion"/>
  </si>
  <si>
    <t>普拉提</t>
    <phoneticPr fontId="4" type="noConversion"/>
  </si>
  <si>
    <t>有氧项目</t>
    <phoneticPr fontId="4" type="noConversion"/>
  </si>
  <si>
    <t>性别</t>
  </si>
  <si>
    <t>身高</t>
  </si>
  <si>
    <t>体重</t>
  </si>
  <si>
    <t>BMI</t>
  </si>
  <si>
    <t>* BMI=体重kg÷身高m÷身高m   正常18.5-24   超重24-28   肥胖大于28</t>
  </si>
  <si>
    <t>减重速度</t>
  </si>
  <si>
    <t>减到何时</t>
  </si>
  <si>
    <t>调整配额</t>
  </si>
  <si>
    <t>力训时间</t>
  </si>
  <si>
    <t>上午起床早，早饭后练， 因此早饭作为练前餐垫肚子，练后吃全天最大的一顿练后餐；力训日全天餐序：①早饭=练前餐 ②练后餐 ③午饭=其他餐 ④晚饭=其他餐</t>
  </si>
  <si>
    <t>基础数据</t>
  </si>
  <si>
    <t>基础代谢(a)</t>
  </si>
  <si>
    <t>无运动总消耗(b=a÷0.7)</t>
  </si>
  <si>
    <t xml:space="preserve"> * 在没有力训、有氧的情况下，基础代谢约占人体热量消耗的70%，其余的热量消耗为食物热效应和活动消耗（因为无运动，活动消耗就是日常活动消耗）</t>
  </si>
  <si>
    <t>力训消耗(c)</t>
  </si>
  <si>
    <t>有氧消耗(d)</t>
  </si>
  <si>
    <t>平衡热量</t>
  </si>
  <si>
    <t>力训日(e1=b+c+d)</t>
  </si>
  <si>
    <t xml:space="preserve"> * 这是理论上的平衡热量，意即理论上这个饮食热量能让体重不变，力训日因为多了力训的热量消耗，所以力训日的平衡热量高一些</t>
  </si>
  <si>
    <t>休息日(e2=b+d)</t>
  </si>
  <si>
    <t>应吃热量</t>
  </si>
  <si>
    <t>力训日(f1=e1×0.64)</t>
  </si>
  <si>
    <t>休息日(f2=e2×0.64)</t>
  </si>
  <si>
    <t>饮食总览</t>
  </si>
  <si>
    <t>碳水</t>
  </si>
  <si>
    <t>蛋白质</t>
  </si>
  <si>
    <t>脂肪</t>
  </si>
  <si>
    <t>蔬菜/水果</t>
  </si>
  <si>
    <t>力训日</t>
  </si>
  <si>
    <t>按下面的文字指导</t>
  </si>
  <si>
    <t>休息日</t>
  </si>
  <si>
    <t>运动总览</t>
  </si>
  <si>
    <t>力训</t>
  </si>
  <si>
    <t>力训和减脂没有直接关系，减脂需要的热量缺口可以用饮食来提供，而不是必须力训来提供；但力训的好处是能减少减脂期的肌肉损失，想保持肌肉需要练3-5次/周</t>
  </si>
  <si>
    <t>有氧</t>
  </si>
  <si>
    <t>餐序</t>
  </si>
  <si>
    <t>①早饭=练前餐</t>
  </si>
  <si>
    <t>1.</t>
  </si>
  <si>
    <t>脂肪这样吃↓</t>
  </si>
  <si>
    <t xml:space="preserve"> 蔬菜不限制↓</t>
  </si>
  <si>
    <t>2.</t>
  </si>
  <si>
    <t>【推荐模式】早饭吃左侧的蛋黄牛奶+正餐吃大众带油菜=脂肪摄入基本合适 :)</t>
  </si>
  <si>
    <t>【蔬菜不用定量】蔬菜碳水率很低，为免麻烦不用定量，争取每天都能吃一些</t>
  </si>
  <si>
    <t>3.</t>
  </si>
  <si>
    <t>4.</t>
  </si>
  <si>
    <t>* 所谓吃“大众带油菜”，就是像黄焖鸡、酸菜鱼、鱼香肉丝、小炒牛肉等家常瘦肉菜，不要害怕菜里的油，但必须是瘦肉，高脂肉会导致脂肪超标（下面讲了什么是瘦肉，什么是高脂肉）</t>
  </si>
  <si>
    <t>* 吃蔬菜的顺序：一般各餐，先吃、多吃蔬菜，后吃碳水，能压制胰岛素，帮助减脂；但力训的练后餐则相反，建议先吃碳水和蛋白质，少吃、后吃蔬菜，避免胰岛素被压制</t>
  </si>
  <si>
    <t>5.</t>
  </si>
  <si>
    <t>6.</t>
  </si>
  <si>
    <t>7.</t>
  </si>
  <si>
    <t>②练后餐</t>
  </si>
  <si>
    <t>【这些不是蔬菜】红薯（20%）、土豆（18%）、玉米（18%）、山药（13%）、芋头（13%）是碳水主食，括号数字是其碳水率</t>
  </si>
  <si>
    <t>* 最好能练完后半小时内开始吃上
* 本餐如要吃蔬菜，少吃后吃以免压制胰岛素
* 有时没正餐可吃，可用便携快碳+蛋白粉解决</t>
  </si>
  <si>
    <t>* 脂肪摄入另一基本来源是吃炒菜时摄入的油，如果正餐吃低油无油菜（卤肉、炖肉、清炒、清炖、轻食、水煮），请看右边脂肪一列【脂肪缺乏2】</t>
  </si>
  <si>
    <t xml:space="preserve"> </t>
  </si>
  <si>
    <t>③午饭=其他餐</t>
  </si>
  <si>
    <t>——————————————————</t>
  </si>
  <si>
    <t xml:space="preserve"> 脂肪基本不吃↓</t>
  </si>
  <si>
    <t xml:space="preserve">  水果必须置换主食↓</t>
  </si>
  <si>
    <t>【水果要算碳水】水果实质是糖水，糖量可观，糖是碳水的一种形式，所以要计入碳水量来置换碳水那列的主食</t>
  </si>
  <si>
    <t>* 练后餐刚吃了没多久，这顿可以晚些吃或少吃点</t>
  </si>
  <si>
    <t>*苹果/橙子/香蕉：20-30g碳水/个；梨子/蓝莓/猕猴桃：碳水率14%；柚子/桃子/葡萄/菠萝：碳水率10%；西瓜/蜜瓜/草莓：碳水率7%</t>
  </si>
  <si>
    <t>④晚饭=其他餐</t>
  </si>
  <si>
    <t>【置换主食的办法】吃水果的10g碳水=主食少吃30g熟米饭</t>
  </si>
  <si>
    <t>⑤零食/夜宵</t>
  </si>
  <si>
    <t>【个别吸油菜】炒鸡蛋、炒茄子</t>
  </si>
  <si>
    <t>* 食堂外卖的宽油炒鸡蛋，每个鸡蛋的蛋白质只有6g，脂肪或高达20g以上，非常占据脂肪配额</t>
  </si>
  <si>
    <t>力训日合计</t>
  </si>
  <si>
    <t>要点：脂肪配额有限 用来吃炒菜和蛋奶</t>
  </si>
  <si>
    <t>要点：蔬菜任意吃 水果要算碳水</t>
  </si>
  <si>
    <t>①早饭（和绿表早饭完全相同）</t>
  </si>
  <si>
    <t>同上表</t>
  </si>
  <si>
    <t>* 脂肪摄入一个基本来源是早饭的蛋黄牛奶，如果你不吃蛋黄牛奶，请看右边脂肪一列的【脂肪缺乏1】</t>
  </si>
  <si>
    <t>②午饭</t>
  </si>
  <si>
    <t>* 脂肪摄入另一基本来源是带油菜的用油，如果你的正餐吃低油无油菜（卤肉、炖肉、清炒、清炖、轻食、水煮），请看右边脂肪一列的【脂肪缺乏2】</t>
  </si>
  <si>
    <t>③晚饭</t>
  </si>
  <si>
    <t>* 瘦肉脂肪率一般不超过5%，基本只有：①没有白色黄色脂肪层的猪牛羊肉  ②去皮鸡鸭肉 ③鱼虾
* 这些都不是瘦肉：鸡皮鸭皮、猪大排、糖醋里脊、锅包肉、烤肉、午餐肉、肥牛、肥羊、排骨、牛排、肉肠、肉饼、肉馅、肉丸</t>
  </si>
  <si>
    <t>休息日合计</t>
  </si>
  <si>
    <t>力训方案</t>
  </si>
  <si>
    <t>频率</t>
  </si>
  <si>
    <t>分化</t>
  </si>
  <si>
    <t>完全新手：用二分化或三分化；有基础者：用三分化或四分化</t>
  </si>
  <si>
    <t>场所</t>
  </si>
  <si>
    <t>新手尽量从健身房起步健身，非必要不要居家力训，居家力训对新手反而更难上手，如果必须居家健身，参照《训练计划-居家健身》的指导</t>
  </si>
  <si>
    <t>训练计划</t>
  </si>
  <si>
    <t>有氧方案</t>
  </si>
  <si>
    <t>概况</t>
  </si>
  <si>
    <t>形式</t>
  </si>
  <si>
    <t>快走、跑步、骑行、游泳、爬楼、跳操、打球等均可，可以自测15秒脉搏算下心率，建议120-150次/分钟，但无需严格要求，有的有氧运动心率是高低波动不稳定的</t>
  </si>
  <si>
    <t>时间点</t>
  </si>
  <si>
    <t>①力训前，不要做有氧，会影响力训；②力训后，如果要做有氧，一般不要超过30分钟；③超过30分钟的有氧，要和力训隔开几小时，或者在休息日做</t>
  </si>
  <si>
    <t>有氧可以置换饮食（重要）</t>
  </si>
  <si>
    <t>自己输入</t>
    <phoneticPr fontId="1" type="noConversion"/>
  </si>
  <si>
    <t>理论上2周减重2%，注意1-2周的体重比较才有意义，每天脂肪分解量只有30-50g，会被体内的食糜重量和含水量变化轻易覆盖，所以两三天的体重变化基本和脂肪量变化无关，没有参考意义</t>
    <phoneticPr fontId="1" type="noConversion"/>
  </si>
  <si>
    <t>肌肉量一般，不要追求低体脂，男性BMI22-23转增肌，女性BMI20-21转增肌；肌肉量足够，可以减到更低体重成为低体脂，男性BMI21-22转增肌，女性BMI19-20转增肌</t>
    <phoneticPr fontId="1" type="noConversion"/>
  </si>
  <si>
    <t>输入配额</t>
    <phoneticPr fontId="1" type="noConversion"/>
  </si>
  <si>
    <t>输入体重</t>
    <phoneticPr fontId="1" type="noConversion"/>
  </si>
  <si>
    <t>相乘得出总量</t>
    <phoneticPr fontId="1" type="noConversion"/>
  </si>
  <si>
    <r>
      <t>男性60g</t>
    </r>
    <r>
      <rPr>
        <sz val="8"/>
        <color rgb="FF000000"/>
        <rFont val="等线"/>
        <family val="3"/>
        <charset val="134"/>
      </rPr>
      <t>（120kg体重以上加到70g）</t>
    </r>
    <r>
      <rPr>
        <sz val="10"/>
        <color rgb="FF000000"/>
        <rFont val="等线"/>
        <family val="3"/>
        <charset val="134"/>
      </rPr>
      <t xml:space="preserve"> 女性50g
但不要细算脂肪 按下面的文字指导来吃就行</t>
    </r>
    <phoneticPr fontId="1" type="noConversion"/>
  </si>
  <si>
    <t>是否需要有氧，请看视频11分8秒，一般建议：增肌不做有氧；减脂体重80kg以上不做有氧；减脂体重70-80kg先不做有氧，如果饿再加有氧；减脂体重70kg以下每周2小时有氧</t>
    <phoneticPr fontId="1" type="noConversion"/>
  </si>
  <si>
    <t>鸡蛋+牛奶，数量参考视频25分30秒</t>
    <phoneticPr fontId="1" type="noConversion"/>
  </si>
  <si>
    <t>鸡蛋，数量参考视频25分30秒</t>
    <phoneticPr fontId="1" type="noConversion"/>
  </si>
  <si>
    <r>
      <t>减脂方案</t>
    </r>
    <r>
      <rPr>
        <sz val="11"/>
        <color rgb="FFFFFFFF"/>
        <rFont val="等线"/>
        <family val="3"/>
        <charset val="134"/>
      </rPr>
      <t>（体重1-2周稳定不掉 请看表17《减脂-问答汇总》的第1问来调整）</t>
    </r>
    <phoneticPr fontId="1" type="noConversion"/>
  </si>
  <si>
    <t>H</t>
    <phoneticPr fontId="1" type="noConversion"/>
  </si>
  <si>
    <t>R</t>
    <phoneticPr fontId="1" type="noConversion"/>
  </si>
  <si>
    <t>S</t>
    <phoneticPr fontId="1" type="noConversion"/>
  </si>
  <si>
    <t>HR</t>
    <phoneticPr fontId="1" type="noConversion"/>
  </si>
  <si>
    <t>SS</t>
    <phoneticPr fontId="1" type="noConversion"/>
  </si>
  <si>
    <t>轻松强度</t>
    <phoneticPr fontId="4" type="noConversion"/>
  </si>
  <si>
    <t>第一步：算出你每天能多吃的热量</t>
    <phoneticPr fontId="4" type="noConversion"/>
  </si>
  <si>
    <t>第二步：把能多吃的热量换成食物</t>
    <phoneticPr fontId="4" type="noConversion"/>
  </si>
  <si>
    <t>跑步</t>
    <phoneticPr fontId="4" type="noConversion"/>
  </si>
  <si>
    <t>每走一万步</t>
    <phoneticPr fontId="1" type="noConversion"/>
  </si>
  <si>
    <t>你每天能多吃的热量=用下表查得该运动每小时的热量消耗×每周小时数÷7天</t>
    <phoneticPr fontId="4" type="noConversion"/>
  </si>
  <si>
    <t>增加热量消耗100大卡≈能多吃80g熟米饭 / 80g瘦熟肉 / 一个苹果或香蕉或柑橘 / 1.5个鸡蛋 / 大半盒全脂牛奶 / 20g坚果</t>
    <phoneticPr fontId="4" type="noConversion"/>
  </si>
  <si>
    <r>
      <t xml:space="preserve">户外骑行
</t>
    </r>
    <r>
      <rPr>
        <sz val="8"/>
        <color rgb="FF000000"/>
        <rFont val="等线"/>
        <family val="3"/>
        <charset val="134"/>
      </rPr>
      <t>*通勤类骑速10-20km/h
*专业骑行速度&gt;20km/h</t>
    </r>
    <phoneticPr fontId="4" type="noConversion"/>
  </si>
  <si>
    <r>
      <t xml:space="preserve">游泳
</t>
    </r>
    <r>
      <rPr>
        <sz val="8"/>
        <color rgb="FF000000"/>
        <rFont val="等线"/>
        <family val="3"/>
        <charset val="134"/>
      </rPr>
      <t>*休息时间不要计入</t>
    </r>
    <phoneticPr fontId="4" type="noConversion"/>
  </si>
  <si>
    <r>
      <t>球类</t>
    </r>
    <r>
      <rPr>
        <sz val="8"/>
        <color rgb="FF000000"/>
        <rFont val="等线"/>
        <family val="3"/>
        <charset val="134"/>
      </rPr>
      <t xml:space="preserve">
*休息时间不要计入</t>
    </r>
    <phoneticPr fontId="4" type="noConversion"/>
  </si>
  <si>
    <r>
      <t xml:space="preserve">爬楼
</t>
    </r>
    <r>
      <rPr>
        <sz val="8"/>
        <color rgb="FF000000"/>
        <rFont val="等线"/>
        <family val="3"/>
        <charset val="134"/>
      </rPr>
      <t>*速度90步/分钟</t>
    </r>
    <phoneticPr fontId="4" type="noConversion"/>
  </si>
  <si>
    <t>&lt;100次/分钟</t>
    <phoneticPr fontId="4" type="noConversion"/>
  </si>
  <si>
    <t>100-120次/分钟</t>
    <phoneticPr fontId="4" type="noConversion"/>
  </si>
  <si>
    <t>120-160次/分钟</t>
    <phoneticPr fontId="4" type="noConversion"/>
  </si>
  <si>
    <t xml:space="preserve"> * 多算两次，切勿算错，否则后续会全错！Mifflin-St Jeor方程：男性基础代谢=体重kg×9.99+身高cm×6.25-年龄×4.92+5；女性基础代谢=体重kg×9.99+身高cm×6.25-年龄×4.92-161</t>
    <phoneticPr fontId="1" type="noConversion"/>
  </si>
  <si>
    <t>如果你是为了填写饮食方案表里的“有氧消耗”</t>
    <phoneticPr fontId="1" type="noConversion"/>
  </si>
  <si>
    <t>如果你是给原本无有氧的饮食方案加饮食热量</t>
    <phoneticPr fontId="4" type="noConversion"/>
  </si>
  <si>
    <t>饮食方案表里的“有氧消耗”一栏填表数字=用下表查得该运动每小时的热量消耗×每周小时数÷7天</t>
    <phoneticPr fontId="1" type="noConversion"/>
  </si>
  <si>
    <t>④零食/夜宵</t>
    <phoneticPr fontId="1" type="noConversion"/>
  </si>
  <si>
    <t>这个表格的作用</t>
    <phoneticPr fontId="4" type="noConversion"/>
  </si>
  <si>
    <t>①你做饮食方案前就决定要做有氧，用来填写饮食方案表里的“有氧消耗”一栏数字；②你原本做的无有氧饮食方案，但因为吃起来太饿，需要加有氧来加饮食热量</t>
    <phoneticPr fontId="4" type="noConversion"/>
  </si>
  <si>
    <t>健身房三分化/健身房四分化/居家三分化训练计划，详见《训练计划》系列表格（本文件的表格编号19-22）</t>
  </si>
  <si>
    <t>如果试吃后感觉很饿，就可以增加有氧来让自己多吃一点，每增加有氧消耗100大卡，饮食热量就能多吃100大卡，具体请看配套的《每小时有氧热量消耗》那张表</t>
  </si>
  <si>
    <t>热量设计</t>
    <phoneticPr fontId="1" type="noConversion"/>
  </si>
  <si>
    <t>力训日饮食</t>
    <phoneticPr fontId="1" type="noConversion"/>
  </si>
  <si>
    <t>HR</t>
    <phoneticPr fontId="1" type="noConversion"/>
  </si>
  <si>
    <t>SS</t>
    <phoneticPr fontId="1" type="noConversion"/>
  </si>
  <si>
    <t>* 瘦肉只有：①没有白色脂肪层的猪牛羊肉  ②去皮的鸡鸭肉 ③鱼虾贝 ④肝肾肚血
* 这些不是瘦肉：鸡鸭的皮、猪大排、糖醋里脊、锅包肉、炸鸡、烤肉、午餐肉、肥牛、肥羊、排骨、牛排、肉肠、肉饼、肉馅、肉丸</t>
    <phoneticPr fontId="1" type="noConversion"/>
  </si>
  <si>
    <t>【慎用薄荷健康app的数据】食物的营养率数据参考视频23分10秒，已覆盖生活里基本食物！如果要用薄荷app查其他食物数据，切记不能用的数据：多种原料混合制成的食物（XX菜肴、汉堡、三明治、牛肉面等）、肥瘦相间的肉类（烤肉、肥牛、肥羊、排骨、牛排、肉肠、肉饼、肉馅、肉丸等）</t>
    <phoneticPr fontId="1" type="noConversion"/>
  </si>
  <si>
    <t>【用Excel照相机功能截图全表】①在Excel里点击：文件-选项-快速访问工具栏-把“常用命令”改为“所有命令”-下拉找到Z开头的“照相机”-添加-确定  ②按住鼠标左键选中你需要截图的单元格范围（不是全选所有单元格） ③点击Excel顶部你刚添加的照相机 ④在微信传输助手里按Ctrl+V就能得到截图</t>
  </si>
  <si>
    <t>* 食物的1234567是任选一种，不是都吃，每种食物互相等价，碳水/蛋白质的量相同，你可以只算自己要吃的食物       * 计算食物重量需要的营养率数据，参考视频23分10秒，初期要用食物称做定量饮食，建立饮食习惯后就不用了</t>
  </si>
  <si>
    <t>体重下降10kg，基础代谢会下降约150大卡，减重10kg以内不用调整，减重达到10kg还要继续减，要么比本食谱每天少吃150大卡（100g米饭+1个全蛋），要么参考《有氧热量消耗》表每周多做1000大卡有氧（但不要加饮食）</t>
    <phoneticPr fontId="4" type="noConversion"/>
  </si>
  <si>
    <t>* 鸡蛋可以是水煮蛋/茶叶蛋/鸡蛋羹，但不是油煎蛋
* 脂肪摄入一个基本来源是早饭的蛋黄牛奶，如果不吃蛋黄牛奶，请看右边脂肪一列【脂肪缺乏1】</t>
    <phoneticPr fontId="1" type="noConversion"/>
  </si>
  <si>
    <t xml:space="preserve"> * 力训的热量消耗建议数据：男性，150大卡（新手）、200大卡（有基础）、250大卡（老手）；女性，100大卡（新手）、150大卡（有基础）、200大卡（老手）</t>
    <phoneticPr fontId="1" type="noConversion"/>
  </si>
  <si>
    <t>【脂肪缺乏2】午饭晚饭吃低油无油菜（卤肉、炖肉、清炒、清炖、轻食、水煮），会比推荐模式少吃约20g脂肪摄入，请全天补吃30g坚果或4个蛋黄</t>
    <phoneticPr fontId="1" type="noConversion"/>
  </si>
  <si>
    <t>【脂肪缺乏1】早饭不吃蛋黄牛奶，会比推荐模式少吃约10-20g脂肪摄入，请全天补吃20g坚果或3个蛋黄</t>
    <phoneticPr fontId="1" type="noConversion"/>
  </si>
  <si>
    <t>* 吃了早饭就准备开练，不需要专门等待休息
* 吃了练你感觉太饱的话，就吃低饱腹感碳水（馒头/面包/面条）或不吃蛋白质（挪给别的时候吃））</t>
    <phoneticPr fontId="1" type="noConversion"/>
  </si>
  <si>
    <t>【高脂肉】鸡鸭皮、大排、糖醋里脊、锅包肉、鸡翅、猪蹄、牛腩、牛排、排骨、烤肉、炸肉、午餐肉、肥牛、肥羊、肉肠、肉饼、肉馅、肉丸</t>
    <phoneticPr fontId="1" type="noConversion"/>
  </si>
  <si>
    <t>* 瘦肉只有：①没有白色脂肪层的猪牛羊肉  ②去皮的鸡鸭肉 ③鱼虾贝 ④肝肾肚血心</t>
    <phoneticPr fontId="4" type="noConversion"/>
  </si>
  <si>
    <r>
      <t>碳水</t>
    </r>
    <r>
      <rPr>
        <i/>
        <sz val="10"/>
        <color rgb="FF000000"/>
        <rFont val="等线"/>
        <family val="3"/>
        <charset val="134"/>
      </rPr>
      <t>（输入配额请看视频17-21分钟）</t>
    </r>
    <phoneticPr fontId="1" type="noConversion"/>
  </si>
  <si>
    <r>
      <t>蛋白质</t>
    </r>
    <r>
      <rPr>
        <i/>
        <sz val="10"/>
        <color rgb="FF000000"/>
        <rFont val="等线"/>
        <family val="3"/>
        <charset val="134"/>
      </rPr>
      <t>（输入配额请看视频17-21分钟）</t>
    </r>
    <phoneticPr fontId="1" type="noConversion"/>
  </si>
  <si>
    <r>
      <t>碳水</t>
    </r>
    <r>
      <rPr>
        <i/>
        <sz val="10"/>
        <rFont val="等线"/>
        <family val="3"/>
        <charset val="134"/>
      </rPr>
      <t>（食物重量计算请看视频23分10秒）</t>
    </r>
    <phoneticPr fontId="1" type="noConversion"/>
  </si>
  <si>
    <r>
      <t>蛋白质</t>
    </r>
    <r>
      <rPr>
        <i/>
        <sz val="10"/>
        <rFont val="等线"/>
        <family val="3"/>
        <charset val="134"/>
      </rPr>
      <t>（食物重量计算请看视频23分10秒）</t>
    </r>
    <phoneticPr fontId="1" type="noConversion"/>
  </si>
  <si>
    <t>其他：内蒙牛肉干、低糖鸡肉干、乳制品、</t>
    <phoneticPr fontId="1" type="noConversion"/>
  </si>
  <si>
    <t>* 零食/夜宵的设计热量就并不多，如果不吃的话，就在其他各餐多吃几口瘦肉或主食即可</t>
    <phoneticPr fontId="1" type="noConversion"/>
  </si>
  <si>
    <t>* 这10%的少量碳水是用来抵扣本列未计入的牛奶、蔬菜、调料里的碳水，不是用来专门吃碳水食物的</t>
  </si>
  <si>
    <t>不吃碳水食物（面包、米面、奶茶、水果等）</t>
    <phoneticPr fontId="1" type="noConversion"/>
  </si>
  <si>
    <t>不吃糖油混合物（饼干、膨化、甜品糕点等）</t>
    <phoneticPr fontId="1" type="noConversion"/>
  </si>
  <si>
    <t>鸡蛋、蔬菜、无糖饮料等。可参考本套表17</t>
    <phoneticPr fontId="1" type="noConversion"/>
  </si>
  <si>
    <t>【糖油混合物】饼干、蛋糕、点心、糕点、甜品、油条、煎饼、花式面包、膨化食品等</t>
  </si>
  <si>
    <t>* 糖油混合物的脂肪率20-40%，吃200克就能耗完全天脂肪配额，只能偶尔吃点解馋</t>
  </si>
  <si>
    <t>《减脂问答汇总》第23问举例的低热量零食</t>
  </si>
  <si>
    <r>
      <rPr>
        <b/>
        <sz val="16"/>
        <color rgb="FFFF0000"/>
        <rFont val="等线"/>
        <family val="3"/>
        <charset val="134"/>
      </rPr>
      <t>每小时</t>
    </r>
    <r>
      <rPr>
        <b/>
        <sz val="16"/>
        <color rgb="FF000000"/>
        <rFont val="等线"/>
        <family val="3"/>
        <charset val="134"/>
      </rPr>
      <t>有氧热量消耗</t>
    </r>
    <phoneticPr fontId="4" type="noConversion"/>
  </si>
  <si>
    <r>
      <t xml:space="preserve">平地走
</t>
    </r>
    <r>
      <rPr>
        <sz val="8"/>
        <color rgb="FF000000"/>
        <rFont val="等线"/>
        <family val="3"/>
        <charset val="134"/>
      </rPr>
      <t>*按步数或速度计算均可</t>
    </r>
    <phoneticPr fontId="4" type="noConversion"/>
  </si>
  <si>
    <t>爬坡走</t>
    <phoneticPr fontId="1" type="noConversion"/>
  </si>
  <si>
    <t>坡度10°（很累）</t>
    <phoneticPr fontId="1" type="noConversion"/>
  </si>
  <si>
    <r>
      <t xml:space="preserve">跳操跟练
</t>
    </r>
    <r>
      <rPr>
        <sz val="8"/>
        <color rgb="FF000000"/>
        <rFont val="等线"/>
        <family val="3"/>
        <charset val="134"/>
      </rPr>
      <t>*休息时间不要计入</t>
    </r>
    <phoneticPr fontId="4" type="noConversion"/>
  </si>
  <si>
    <t>室内其他项目</t>
    <phoneticPr fontId="4" type="noConversion"/>
  </si>
  <si>
    <t>划船机</t>
    <phoneticPr fontId="4" type="noConversion"/>
  </si>
  <si>
    <t>真人格斗</t>
    <phoneticPr fontId="4" type="noConversion"/>
  </si>
  <si>
    <r>
      <t>【数据来源】①游泳：</t>
    </r>
    <r>
      <rPr>
        <i/>
        <sz val="9"/>
        <color rgb="FF000000"/>
        <rFont val="等线"/>
        <family val="3"/>
        <charset val="134"/>
      </rPr>
      <t>Understanding Nutrition(16th edition)</t>
    </r>
    <r>
      <rPr>
        <sz val="9"/>
        <color rgb="FF000000"/>
        <rFont val="等线"/>
        <family val="3"/>
        <charset val="134"/>
      </rPr>
      <t>, pp.236；②骑行（时速20km以上）、室内单车、室内划船机、足球、拳击、跳绳、舞蹈、椭圆仪、普拉提：2011 Compendium of Physical Activities: a second update of codes and MET values，</t>
    </r>
    <r>
      <rPr>
        <i/>
        <sz val="9"/>
        <color rgb="FF000000"/>
        <rFont val="等线"/>
        <family val="3"/>
        <charset val="134"/>
      </rPr>
      <t>Medicine &amp; science in sports &amp; exercise 43.8 (2011)</t>
    </r>
    <r>
      <rPr>
        <sz val="9"/>
        <color rgb="FF000000"/>
        <rFont val="等线"/>
        <family val="3"/>
        <charset val="134"/>
      </rPr>
      <t>；③其他运动：《中国健康成年人身体活动能量消耗参考值》，</t>
    </r>
    <r>
      <rPr>
        <i/>
        <sz val="9"/>
        <color rgb="FF000000"/>
        <rFont val="等线"/>
        <family val="3"/>
        <charset val="134"/>
      </rPr>
      <t>《中国运动医学杂志》2022年第5期</t>
    </r>
    <r>
      <rPr>
        <sz val="9"/>
        <color rgb="FF000000"/>
        <rFont val="等线"/>
        <family val="3"/>
        <charset val="134"/>
      </rPr>
      <t xml:space="preserve">
【数据处理】原数据提供的是每kg体重的热量消耗，本质是等比例函数，意即体重增加一倍，有氧消耗就增加一倍；但根据科研实测，体重与热量消耗的关系函数斜率是低于等比例函数的，意即体重增加一倍，有氧消耗虽会增加，但增加不到一倍。原数据的实验样本，一般都是中等体重的常规人群，他们的热量消耗功率是高于大体重人群的，如果用这个数据代入大体重者，则会高估大体重者的热量消耗。因此，我从80kg体重开始，体重每增加5kg，对热量消耗功率递减3%，如此来对冲对大体重者热量消耗的高估。</t>
    </r>
    <phoneticPr fontId="4" type="noConversion"/>
  </si>
  <si>
    <t>坡度5°（一般选择）</t>
    <phoneticPr fontId="1" type="noConversion"/>
  </si>
  <si>
    <t>每走一小时</t>
    <phoneticPr fontId="1" type="noConversion"/>
  </si>
  <si>
    <t xml:space="preserve"> * 如果你有主动或被动的有氧活动，请参考表16《每小时有氧热量消耗》的数字填写（注意这是平均到每天的数字，请算出你一周有氧消耗，再除以7来填入这行）</t>
  </si>
  <si>
    <t xml:space="preserve"> * 减脂的合适热量缺口为20%，应吃热量本该是平衡热量×0.8，但我们需要留出余地：一是因为研究表明人们在定量饮食里也会不自觉多吃约10-20%热量，二是因为下表有些食物的部分热量没有计入（如主食的蛋白质和脂肪），所以我们把应吃热量设计为理论平衡热量的1×0.8×0.8=0.64，算出的热量看似很低，不要被吓到，实际上你吃的热量是高于此数的，我们只是提前留了余地！</t>
    <phoneticPr fontId="1" type="noConversion"/>
  </si>
  <si>
    <t>* 食物的1234567是任选一种，不是都吃，每种食物互相等价，碳水/蛋白质的量相同，你可以只算自己要吃的食物       * 计算食物重量需要的营养率数据，参考视频23分10秒，初期要用食物称做定量饮食，建立饮食习惯后就不用了</t>
    <phoneticPr fontId="1" type="noConversion"/>
  </si>
  <si>
    <r>
      <t>休息日饮食</t>
    </r>
    <r>
      <rPr>
        <b/>
        <sz val="10"/>
        <color rgb="FFFFFFFF"/>
        <rFont val="等线"/>
        <family val="3"/>
        <charset val="134"/>
      </rPr>
      <t>（不力训就叫休息日 与是否有氧无关）</t>
    </r>
    <phoneticPr fontId="1" type="noConversion"/>
  </si>
  <si>
    <t>干枣</t>
    <phoneticPr fontId="1" type="noConversion"/>
  </si>
  <si>
    <t>鲜枣</t>
    <phoneticPr fontId="1" type="noConversion"/>
  </si>
  <si>
    <t>榴莲</t>
    <phoneticPr fontId="1" type="noConversion"/>
  </si>
  <si>
    <t>香蕉</t>
    <phoneticPr fontId="1" type="noConversion"/>
  </si>
  <si>
    <t>菠萝蜜</t>
    <phoneticPr fontId="1" type="noConversion"/>
  </si>
  <si>
    <t>苹果</t>
    <phoneticPr fontId="1" type="noConversion"/>
  </si>
  <si>
    <t>葡萄</t>
    <phoneticPr fontId="1" type="noConversion"/>
  </si>
  <si>
    <t>火龙果</t>
    <phoneticPr fontId="1" type="noConversion"/>
  </si>
  <si>
    <t>橙子</t>
    <phoneticPr fontId="1" type="noConversion"/>
  </si>
  <si>
    <t>柚子</t>
    <phoneticPr fontId="1" type="noConversion"/>
  </si>
  <si>
    <t>芒果</t>
    <phoneticPr fontId="1" type="noConversion"/>
  </si>
  <si>
    <t>李子</t>
    <phoneticPr fontId="1" type="noConversion"/>
  </si>
  <si>
    <t>西瓜</t>
    <phoneticPr fontId="1" type="noConversion"/>
  </si>
  <si>
    <t>哈密瓜</t>
    <phoneticPr fontId="1" type="noConversion"/>
  </si>
  <si>
    <t>提子</t>
    <phoneticPr fontId="1" type="noConversion"/>
  </si>
  <si>
    <t>橘子</t>
    <phoneticPr fontId="1" type="noConversion"/>
  </si>
  <si>
    <t>木瓜</t>
    <phoneticPr fontId="1" type="noConversion"/>
  </si>
  <si>
    <t>枇杷</t>
    <phoneticPr fontId="1" type="noConversion"/>
  </si>
  <si>
    <t>荔枝</t>
    <phoneticPr fontId="1" type="noConversion"/>
  </si>
  <si>
    <t>桂圆</t>
    <phoneticPr fontId="1" type="noConversion"/>
  </si>
  <si>
    <t>椰肉</t>
    <phoneticPr fontId="1" type="noConversion"/>
  </si>
  <si>
    <t>桑葚</t>
    <phoneticPr fontId="1" type="noConversion"/>
  </si>
  <si>
    <t>猕猴桃</t>
    <phoneticPr fontId="1" type="noConversion"/>
  </si>
  <si>
    <t>杏</t>
    <phoneticPr fontId="1" type="noConversion"/>
  </si>
  <si>
    <t>西梅</t>
    <phoneticPr fontId="1" type="noConversion"/>
  </si>
  <si>
    <t>梨</t>
    <phoneticPr fontId="1" type="noConversion"/>
  </si>
  <si>
    <t>桃</t>
    <phoneticPr fontId="1" type="noConversion"/>
  </si>
  <si>
    <t>圣女果（小番茄）</t>
    <phoneticPr fontId="1" type="noConversion"/>
  </si>
  <si>
    <t>其他主食</t>
    <phoneticPr fontId="1" type="noConversion"/>
  </si>
  <si>
    <t>贝贝南瓜</t>
    <phoneticPr fontId="1" type="noConversion"/>
  </si>
  <si>
    <t>传统南瓜</t>
    <phoneticPr fontId="1" type="noConversion"/>
  </si>
  <si>
    <t>碳水率</t>
    <phoneticPr fontId="1" type="noConversion"/>
  </si>
  <si>
    <t>大米、糙米、糯米、小米、黑米、紫米等不分品种均是</t>
    <phoneticPr fontId="1" type="noConversion"/>
  </si>
  <si>
    <t>电商搜索“营养米粉”或“成人米粉”或“健身米糊”，不要买成昂贵的婴儿米粉</t>
    <phoneticPr fontId="1" type="noConversion"/>
  </si>
  <si>
    <t>便携碳水</t>
    <phoneticPr fontId="1" type="noConversion"/>
  </si>
  <si>
    <t>搜索“BHB板栗”，碳水35g/袋</t>
    <phoneticPr fontId="1" type="noConversion"/>
  </si>
  <si>
    <t>搜索“娃哈哈八宝粥”，碳水47g/罐</t>
    <phoneticPr fontId="1" type="noConversion"/>
  </si>
  <si>
    <t>搜索“山西纯碱烤馍”，大袋装但保质期很长，口味类似葱香饼干</t>
    <phoneticPr fontId="1" type="noConversion"/>
  </si>
  <si>
    <t>搜索“豫派非油炸干脆面”，碳水27g/袋，口味类似小浣熊等油炸干脆面</t>
    <phoneticPr fontId="1" type="noConversion"/>
  </si>
  <si>
    <t>小包装是20g装，碳水15g/袋；大包装是70g装，碳水50g/袋</t>
    <phoneticPr fontId="1" type="noConversion"/>
  </si>
  <si>
    <t>一般是小袋装，自己看包装重量，蔗糖率约10%，不致于导致果糖摄入超标</t>
    <phoneticPr fontId="1" type="noConversion"/>
  </si>
  <si>
    <t>一般都小袋装，自己看包装重量，蔗糖率约10%，不致于导致果糖摄入超标</t>
    <phoneticPr fontId="1" type="noConversion"/>
  </si>
  <si>
    <t>旺仔QQ糖</t>
    <phoneticPr fontId="1" type="noConversion"/>
  </si>
  <si>
    <t>山西烤馍</t>
    <phoneticPr fontId="1" type="noConversion"/>
  </si>
  <si>
    <t>非油炸干脆面</t>
    <phoneticPr fontId="1" type="noConversion"/>
  </si>
  <si>
    <t>红螺牌驴打滚</t>
    <phoneticPr fontId="1" type="noConversion"/>
  </si>
  <si>
    <t>BHB熟板栗</t>
    <phoneticPr fontId="1" type="noConversion"/>
  </si>
  <si>
    <t>云片糕/桃片</t>
    <phoneticPr fontId="1" type="noConversion"/>
  </si>
  <si>
    <t>米花糖</t>
    <phoneticPr fontId="1" type="noConversion"/>
  </si>
  <si>
    <t>娃哈哈八宝粥</t>
    <phoneticPr fontId="1" type="noConversion"/>
  </si>
  <si>
    <t>车厘子</t>
    <phoneticPr fontId="1" type="noConversion"/>
  </si>
  <si>
    <t>切片面包</t>
    <phoneticPr fontId="1" type="noConversion"/>
  </si>
  <si>
    <t>五谷道场方便面</t>
    <phoneticPr fontId="1" type="noConversion"/>
  </si>
  <si>
    <t>宝矿力运动饮料</t>
    <phoneticPr fontId="1" type="noConversion"/>
  </si>
  <si>
    <t>脉动运动饮料</t>
    <phoneticPr fontId="1" type="noConversion"/>
  </si>
  <si>
    <t>米类主食</t>
    <phoneticPr fontId="1" type="noConversion"/>
  </si>
  <si>
    <t>麦类主食</t>
    <phoneticPr fontId="1" type="noConversion"/>
  </si>
  <si>
    <t>白家陈记酸辣粉丝</t>
    <phoneticPr fontId="1" type="noConversion"/>
  </si>
  <si>
    <t>方便食品</t>
    <phoneticPr fontId="1" type="noConversion"/>
  </si>
  <si>
    <t>水果</t>
    <phoneticPr fontId="1" type="noConversion"/>
  </si>
  <si>
    <t>粘稠度类似小米粥的稀饭</t>
    <phoneticPr fontId="1" type="noConversion"/>
  </si>
  <si>
    <t>粘稠度比小米粥要稠的稀饭</t>
    <phoneticPr fontId="1" type="noConversion"/>
  </si>
  <si>
    <t>广东地方主食，一般50-70g碳水/份</t>
    <phoneticPr fontId="1" type="noConversion"/>
  </si>
  <si>
    <t>可吃白粽、豆沙粽，不吃肉粽，饱腹感很低，一般40-60g碳水/个</t>
    <phoneticPr fontId="1" type="noConversion"/>
  </si>
  <si>
    <t>讲解</t>
    <phoneticPr fontId="1" type="noConversion"/>
  </si>
  <si>
    <t>米饭（很软）</t>
    <phoneticPr fontId="1" type="noConversion"/>
  </si>
  <si>
    <t>米饭（一般）</t>
    <phoneticPr fontId="1" type="noConversion"/>
  </si>
  <si>
    <t>米粥（稀）</t>
    <phoneticPr fontId="1" type="noConversion"/>
  </si>
  <si>
    <t>米粥（一般）</t>
    <phoneticPr fontId="1" type="noConversion"/>
  </si>
  <si>
    <t>米线（熟）</t>
    <phoneticPr fontId="1" type="noConversion"/>
  </si>
  <si>
    <t>米糊（生）</t>
    <phoneticPr fontId="1" type="noConversion"/>
  </si>
  <si>
    <t>肠粉（熟）</t>
    <phoneticPr fontId="1" type="noConversion"/>
  </si>
  <si>
    <t>挂面（生）</t>
    <phoneticPr fontId="1" type="noConversion"/>
  </si>
  <si>
    <t>意面（生）</t>
    <phoneticPr fontId="1" type="noConversion"/>
  </si>
  <si>
    <t>鲜面（生）</t>
    <phoneticPr fontId="1" type="noConversion"/>
  </si>
  <si>
    <t>凉面（熟）</t>
    <phoneticPr fontId="1" type="noConversion"/>
  </si>
  <si>
    <t>粗面（熟）</t>
    <phoneticPr fontId="1" type="noConversion"/>
  </si>
  <si>
    <t>意面（熟）</t>
    <phoneticPr fontId="1" type="noConversion"/>
  </si>
  <si>
    <t>细面（熟）</t>
    <phoneticPr fontId="1" type="noConversion"/>
  </si>
  <si>
    <t>卷饼/烙饼/馕（熟）</t>
    <phoneticPr fontId="1" type="noConversion"/>
  </si>
  <si>
    <t>红薯（生/蒸煮）</t>
    <phoneticPr fontId="1" type="noConversion"/>
  </si>
  <si>
    <t>红薯（烤）</t>
    <phoneticPr fontId="1" type="noConversion"/>
  </si>
  <si>
    <t>土豆（生/蒸煮）</t>
    <phoneticPr fontId="1" type="noConversion"/>
  </si>
  <si>
    <t>土豆（烤）</t>
    <phoneticPr fontId="1" type="noConversion"/>
  </si>
  <si>
    <t>红薯/土豆粉丝（生）</t>
    <phoneticPr fontId="1" type="noConversion"/>
  </si>
  <si>
    <t>甜玉米（生/蒸煮）</t>
    <phoneticPr fontId="1" type="noConversion"/>
  </si>
  <si>
    <t>糯玉米（生/蒸煮）</t>
    <phoneticPr fontId="1" type="noConversion"/>
  </si>
  <si>
    <t>山药（生/蒸煮）</t>
    <phoneticPr fontId="1" type="noConversion"/>
  </si>
  <si>
    <t>藕粉（生）</t>
    <phoneticPr fontId="1" type="noConversion"/>
  </si>
  <si>
    <t>燕麦麸皮（生）</t>
    <phoneticPr fontId="1" type="noConversion"/>
  </si>
  <si>
    <t>速食燕麦片（生）</t>
    <phoneticPr fontId="1" type="noConversion"/>
  </si>
  <si>
    <t>切片面包</t>
    <phoneticPr fontId="1" type="noConversion"/>
  </si>
  <si>
    <t>康力快熟意大利面</t>
    <phoneticPr fontId="1" type="noConversion"/>
  </si>
  <si>
    <t>蛋白粉</t>
    <phoneticPr fontId="1" type="noConversion"/>
  </si>
  <si>
    <t>瘦肉（三文鱼/金枪鱼）</t>
    <phoneticPr fontId="1" type="noConversion"/>
  </si>
  <si>
    <t>一般鱼虾的含水率高于家禽家畜，因此蛋白质率稍低</t>
    <phoneticPr fontId="1" type="noConversion"/>
  </si>
  <si>
    <t>三文鱼/金枪鱼本身脂肪率较高，并非瘦肉；但如果是吃中腩或赤身，且是无油生食，则也可视为瘦肉性质</t>
    <phoneticPr fontId="1" type="noConversion"/>
  </si>
  <si>
    <t>没有白色脂肪层的猪牛羊肉，去皮的鸡鸭肉，才是瘦肉性质</t>
    <phoneticPr fontId="1" type="noConversion"/>
  </si>
  <si>
    <t>酱牛肉、干柴的卤肉等，因为脱水率更高，蛋白质率继续升高</t>
    <phoneticPr fontId="1" type="noConversion"/>
  </si>
  <si>
    <t>瘦肉（柴感的熟肉）</t>
    <phoneticPr fontId="1" type="noConversion"/>
  </si>
  <si>
    <t>鸡蛋</t>
    <phoneticPr fontId="1" type="noConversion"/>
  </si>
  <si>
    <t>蛋清（蛋白质3g 脂肪0g）+蛋黄（蛋白质3g 脂肪5g）=全蛋（蛋白质6g 脂肪5g）</t>
    <phoneticPr fontId="1" type="noConversion"/>
  </si>
  <si>
    <t>牛奶</t>
    <phoneticPr fontId="1" type="noConversion"/>
  </si>
  <si>
    <t>250ml盒装纯牛奶（碳水12g 蛋白质10g 脂肪9g），可以简单记忆为碳蛋脂都是10g</t>
    <phoneticPr fontId="1" type="noConversion"/>
  </si>
  <si>
    <t>豆腐</t>
    <phoneticPr fontId="1" type="noConversion"/>
  </si>
  <si>
    <t>豆浆</t>
    <phoneticPr fontId="1" type="noConversion"/>
  </si>
  <si>
    <t>乳清蛋白粉的一般70-80%，分离乳清蛋白粉一般80-90%，素食者可用大豆分离蛋白粉（氨基酸比例良好）</t>
    <phoneticPr fontId="1" type="noConversion"/>
  </si>
  <si>
    <t>可忽略不计</t>
    <phoneticPr fontId="1" type="noConversion"/>
  </si>
  <si>
    <t>碳水3% 蛋白质7% 脂肪5%，碰到了可以吃一些，但不能替代瘦肉，因为氨基酸比例较差，且附带过多脂肪</t>
  </si>
  <si>
    <t>蛋白质率</t>
    <phoneticPr fontId="1" type="noConversion"/>
  </si>
  <si>
    <t>酸奶</t>
    <phoneticPr fontId="1" type="noConversion"/>
  </si>
  <si>
    <t>十月稻田饭团</t>
    <phoneticPr fontId="1" type="noConversion"/>
  </si>
  <si>
    <t>搜索“十月稻田糙米饭团”，碳水25g/袋，开袋即食</t>
    <phoneticPr fontId="1" type="noConversion"/>
  </si>
  <si>
    <t>速食黑麦片（生）</t>
    <phoneticPr fontId="1" type="noConversion"/>
  </si>
  <si>
    <t>6g/个</t>
    <phoneticPr fontId="1" type="noConversion"/>
  </si>
  <si>
    <t>干净蛋白质</t>
    <phoneticPr fontId="1" type="noConversion"/>
  </si>
  <si>
    <t>碳水20% 蛋白质35% 脂肪20%，碰到了可以吃一些，但不能替代瘦肉，因为氨基酸比例较差，且附带过多脂肪</t>
    <phoneticPr fontId="1" type="noConversion"/>
  </si>
  <si>
    <t>豆皮/千张</t>
    <phoneticPr fontId="1" type="noConversion"/>
  </si>
  <si>
    <t>瘦肉干</t>
    <phoneticPr fontId="1" type="noConversion"/>
  </si>
  <si>
    <t>瘦肉（鱼虾生肉）</t>
    <phoneticPr fontId="1" type="noConversion"/>
  </si>
  <si>
    <t>瘦肉（家禽家畜生肉）</t>
    <phoneticPr fontId="1" type="noConversion"/>
  </si>
  <si>
    <t>瘦肉（一般的熟肉）</t>
    <phoneticPr fontId="1" type="noConversion"/>
  </si>
  <si>
    <t>只有自己做饭才可能这么软，外食几乎不可能</t>
    <phoneticPr fontId="1" type="noConversion"/>
  </si>
  <si>
    <t>外食的一般米饭，长方形的标准外卖盒一般100-120g碳水/盒</t>
    <phoneticPr fontId="1" type="noConversion"/>
  </si>
  <si>
    <t>馒头/花卷/馍/馕</t>
    <phoneticPr fontId="1" type="noConversion"/>
  </si>
  <si>
    <t>少有的低GI碳水，不要用于练后碳水，必须用开水冲调，冷却费时</t>
  </si>
  <si>
    <t>碳水约60g/袋，需另购意大利面酱料，注意意面是少有的低GI碳水，不要用于练后碳水</t>
  </si>
  <si>
    <t>GI指数</t>
    <phoneticPr fontId="1" type="noConversion"/>
  </si>
  <si>
    <t>高</t>
    <phoneticPr fontId="1" type="noConversion"/>
  </si>
  <si>
    <t>中</t>
    <phoneticPr fontId="1" type="noConversion"/>
  </si>
  <si>
    <t>低</t>
    <phoneticPr fontId="1" type="noConversion"/>
  </si>
  <si>
    <t>挂面是面条里少有的中等GI碳水，不建议用于练后餐</t>
    <phoneticPr fontId="1" type="noConversion"/>
  </si>
  <si>
    <t>普通切片面包的脂肪率低于8%（性质是碳水食物），花式面包脂肪率高于10%甚至15%（性质是轻度糖油混合物）</t>
    <phoneticPr fontId="1" type="noConversion"/>
  </si>
  <si>
    <t>意面是面条里少有的低GI碳水，不能用于练后餐</t>
    <phoneticPr fontId="1" type="noConversion"/>
  </si>
  <si>
    <t>米线饱腹感很低，外食一般不低于100g碳水/份</t>
    <phoneticPr fontId="1" type="noConversion"/>
  </si>
  <si>
    <t>鲜面，指现和现拉的未下锅的面条，含水量高于干面，因此碳水率稍低，外食一般不低于100g碳水/份</t>
    <phoneticPr fontId="1" type="noConversion"/>
  </si>
  <si>
    <t>高</t>
    <phoneticPr fontId="1" type="noConversion"/>
  </si>
  <si>
    <t>中</t>
    <phoneticPr fontId="1" type="noConversion"/>
  </si>
  <si>
    <t>低</t>
    <phoneticPr fontId="1" type="noConversion"/>
  </si>
  <si>
    <t>含有蛋白质的混合物</t>
    <phoneticPr fontId="1" type="noConversion"/>
  </si>
  <si>
    <t>晒干制成的粉丝是少有的低GI碳水，例如酸辣粉、红薯粉、土豆粉，但注意米粉米线等新鲜食品不属于此类</t>
    <phoneticPr fontId="1" type="noConversion"/>
  </si>
  <si>
    <t>樱桃</t>
    <phoneticPr fontId="1" type="noConversion"/>
  </si>
  <si>
    <t>西红柿（大番茄）</t>
    <phoneticPr fontId="1" type="noConversion"/>
  </si>
  <si>
    <t>碳水</t>
    <phoneticPr fontId="1" type="noConversion"/>
  </si>
  <si>
    <t>蛋白质</t>
    <phoneticPr fontId="1" type="noConversion"/>
  </si>
  <si>
    <t>大类</t>
    <phoneticPr fontId="1" type="noConversion"/>
  </si>
  <si>
    <t>食物</t>
    <phoneticPr fontId="1" type="noConversion"/>
  </si>
  <si>
    <t>食物</t>
    <phoneticPr fontId="1" type="noConversion"/>
  </si>
  <si>
    <t>讲解</t>
    <phoneticPr fontId="1" type="noConversion"/>
  </si>
  <si>
    <t>定位</t>
    <phoneticPr fontId="1" type="noConversion"/>
  </si>
  <si>
    <t>主要来源</t>
    <phoneticPr fontId="1" type="noConversion"/>
  </si>
  <si>
    <t>早饭来源</t>
    <phoneticPr fontId="1" type="noConversion"/>
  </si>
  <si>
    <t>10g/250ml盒</t>
    <phoneticPr fontId="1" type="noConversion"/>
  </si>
  <si>
    <t>碰到了可吃</t>
    <phoneticPr fontId="1" type="noConversion"/>
  </si>
  <si>
    <t>10g/200ml盒</t>
    <phoneticPr fontId="1" type="noConversion"/>
  </si>
  <si>
    <t>米饭（偏硬）</t>
    <phoneticPr fontId="1" type="noConversion"/>
  </si>
  <si>
    <t>辛拉面（空空面版）</t>
    <phoneticPr fontId="1" type="noConversion"/>
  </si>
  <si>
    <t>辛拉面（普通版）</t>
    <phoneticPr fontId="1" type="noConversion"/>
  </si>
  <si>
    <t>粗面，指像凉面粗细的面条，吸水率比细面低一些，因此碳水率稍高一些，外食一般不低于100g碳水/份</t>
    <phoneticPr fontId="1" type="noConversion"/>
  </si>
  <si>
    <t>细面，指像挂面粗细的面条，吸水率比粗面高一些，因此碳水率稍低一些，外食一般不低于100g碳水/份</t>
    <phoneticPr fontId="1" type="noConversion"/>
  </si>
  <si>
    <t>面粉糊烤熟成饼状主食，各地域称呼不同，饱腹感很低，外食一般不低于100g碳水/份</t>
    <phoneticPr fontId="1" type="noConversion"/>
  </si>
  <si>
    <t>饱腹感极强，一般不用于练后碳水以免太撑；极高膳食纤维</t>
    <phoneticPr fontId="1" type="noConversion"/>
  </si>
  <si>
    <t>饱腹感极强，一般不用于练后碳水以免太撑；脂肪率比燕麦片低不少，是很纯净的碳水；极高膳食纤维</t>
    <phoneticPr fontId="1" type="noConversion"/>
  </si>
  <si>
    <t>碳水约50g/袋或盒，虽然料包有油，但面饼非油炸，所以是碳水食物；高钠，建议粉包减半</t>
  </si>
  <si>
    <t>碳水约50g/袋或盒，虽然面饼油炸，但调料包无油，所以接近于碳水食物；高钠，建议粉包减半</t>
  </si>
  <si>
    <t>碳水约50g/袋或盒，调料包无油，面饼非油炸，所以是彻底的碳水食物；高钠，建议粉包减半</t>
  </si>
  <si>
    <r>
      <rPr>
        <u/>
        <sz val="9"/>
        <color theme="1"/>
        <rFont val="Calibri"/>
        <family val="3"/>
        <charset val="134"/>
        <scheme val="minor"/>
      </rPr>
      <t>【水果的碳水构成】</t>
    </r>
    <r>
      <rPr>
        <sz val="9"/>
        <color theme="1"/>
        <rFont val="Calibri"/>
        <family val="3"/>
        <charset val="134"/>
        <scheme val="minor"/>
      </rPr>
      <t xml:space="preserve">
水果的碳水绝大部分是果糖+葡萄糖+蔗糖构成。蔗糖继续分解为一半果糖和一半葡萄糖。因此水果的碳水实质是果糖+葡萄糖的混合物，可以简单记忆成两者各半（不同水果比例有所差别）。
</t>
    </r>
    <r>
      <rPr>
        <u/>
        <sz val="9"/>
        <color theme="1"/>
        <rFont val="Calibri"/>
        <family val="3"/>
        <charset val="134"/>
        <scheme val="minor"/>
      </rPr>
      <t xml:space="preserve">【碳水率（含糖率）并不直接决定吃糖量】
</t>
    </r>
    <r>
      <rPr>
        <sz val="9"/>
        <color theme="1"/>
        <rFont val="Calibri"/>
        <family val="3"/>
        <charset val="134"/>
        <scheme val="minor"/>
      </rPr>
      <t xml:space="preserve">
网上常见说法是说：放心吃“低糖水果”，不要吃“高糖水果”。这是不可靠的。因为我们吃水果时，不可能各种水果是按等重量来吃的，所以“含糖率”数据的实践意义不大。
例如：西瓜是低糖水果（7%），但普通人一次很容易吃1kg以上瓜瓤，吃糖量超过70g是很厉害的；反之，香蕉是高糖水果（22%），但普通人吃香蕉一般只吃一根，只有20-30g糖，比吃西瓜要温和得多。因此，爱吃水果的朋友可以自己计算一下你一次到底会吃多少（买水果时标签会有重量，很好计算），切勿觉得“低糖水果”可以放心吃，“高糖水果”就不能吃。
</t>
    </r>
    <r>
      <rPr>
        <u/>
        <sz val="9"/>
        <color theme="1"/>
        <rFont val="Calibri"/>
        <family val="3"/>
        <charset val="134"/>
        <scheme val="minor"/>
      </rPr>
      <t>【水果不能作为主要碳水来源】</t>
    </r>
    <r>
      <rPr>
        <sz val="9"/>
        <color theme="1"/>
        <rFont val="Calibri"/>
        <family val="3"/>
        <charset val="134"/>
        <scheme val="minor"/>
      </rPr>
      <t xml:space="preserve">
a.水果的碳水里大约有一半是果糖，如果把水果替代淀粉类主食作为主要碳水来源，显然很容易超过果糖的日摄入限量30-50g（长期过量摄入果糖会增加脂肪肝、肥胖症、胰岛素抵抗、痛风等代谢疾病的风险）；
b.水果作为糖水，饱腹感很低，比吃米饭馒头等常规淀粉类主食更容易饥饿，减脂期水果吃得越多越饿；
c.力训的练后餐也不能用水果作为主要碳水来源，等碳水量的水果和米饭馒头等常规淀粉类主食相比，因为水果大约一半碳水是果糖（果糖不刺激胰岛素分泌），所以尽管花费了大量碳水，但胰岛素水平却较低，不利于合成代谢。
</t>
    </r>
    <r>
      <rPr>
        <u/>
        <sz val="9"/>
        <color theme="1"/>
        <rFont val="Calibri"/>
        <family val="3"/>
        <charset val="134"/>
        <scheme val="minor"/>
      </rPr>
      <t>【水果不是高GI碳水 对血糖胰岛素刺激较弱】</t>
    </r>
    <r>
      <rPr>
        <sz val="9"/>
        <color theme="1"/>
        <rFont val="Calibri"/>
        <family val="3"/>
        <charset val="134"/>
        <scheme val="minor"/>
      </rPr>
      <t xml:space="preserve">
a.食物的GI测试是摄入含有50g碳水的食物，记录在2小时内血糖升高的面积与同种方法下摄入50g葡萄糖导致血糖升高面积的比值。在GI测试里，取用50g碳水的水果，实际能分解葡萄糖的碳水大约只有一半，所以测得的GI值较低。而淀粉类主食，取用50g碳水的主食，会全部分解为葡萄糖，所以测得的GI值较高。水果GI较低的根本原因，是因为水果的碳水不会全部分解为葡萄糖，而不是因为水果的碳水分解为葡萄糖的速度较慢。
b.水果里只有西瓜、哈密瓜的GI勉强达到高GI（说明其分解为果糖的比例较低），其他水果都是中低GI碳水。因此力训练后餐确实可以吃水果作为一部分碳水来源，但不能作为主要或全部碳水来源，例如练后100g碳水用4根香蕉来提供是错误的，这样虽然花费了巨大的碳水配额，但胰岛素却较低，且果糖摄入会超标。</t>
    </r>
    <phoneticPr fontId="1" type="noConversion"/>
  </si>
  <si>
    <t>干黄豆</t>
    <phoneticPr fontId="1" type="noConversion"/>
  </si>
  <si>
    <t>鲜黄豆/毛豆/青豆</t>
    <phoneticPr fontId="1" type="noConversion"/>
  </si>
  <si>
    <t>生米</t>
    <phoneticPr fontId="1" type="noConversion"/>
  </si>
  <si>
    <t>注意贝贝南瓜和传统南瓜的碳水率差别极大</t>
    <phoneticPr fontId="1" type="noConversion"/>
  </si>
  <si>
    <t>甜玉米，指传统玉米，碳水率和GI比糯玉米低不少，不建议用于练后餐，电商关键词“笨玉米”、“老式玉米”</t>
    <phoneticPr fontId="1" type="noConversion"/>
  </si>
  <si>
    <t>糯玉米，口味软糯，香味很重，碳水率和GI比甜玉米高得多，电商关键词“糯玉米”</t>
    <phoneticPr fontId="1" type="noConversion"/>
  </si>
  <si>
    <t>30g蔗糖/瓶，不能作为练后全部碳水，升血糖和胰岛素能力较弱，且可能导致果糖摄入超标</t>
    <phoneticPr fontId="1" type="noConversion"/>
  </si>
  <si>
    <t>碳水约40g/袋 60g/盒，料包只有几克油，所以是碳水食物；低GI，不用于练后碳水；高钠，建议粉包减半</t>
    <phoneticPr fontId="1" type="noConversion"/>
  </si>
  <si>
    <t>常规切片面包的脂肪率低于8%（碳水食物），花式面包脂肪率高于15%（轻度的糖油混合物）</t>
    <phoneticPr fontId="1" type="noConversion"/>
  </si>
  <si>
    <t>旺仔小馒头（46g装）</t>
    <phoneticPr fontId="1" type="noConversion"/>
  </si>
  <si>
    <t>碳水37g/袋，便于配餐，但约有1/4是蔗糖，不宜经常作为练后餐（可能导致果糖摄入超标）</t>
    <phoneticPr fontId="1" type="noConversion"/>
  </si>
  <si>
    <t>搜索“红螺驴打滚”，碳水10g/小袋，此品牌甜味剂是用的麦芽糖而非蔗糖/果葡糖浆，不会产生果糖超标问题</t>
    <phoneticPr fontId="1" type="noConversion"/>
  </si>
  <si>
    <t>碳水34% 蛋白质35% 脂肪16%，碰到了可以吃一些，但不能替代瘦肉，因为氨基酸比例较差，且附带过多脂肪</t>
    <phoneticPr fontId="1" type="noConversion"/>
  </si>
  <si>
    <t>碳水11% 蛋白质13% 脂肪5%，碰到了可以吃一些，但不能替代瘦肉，因为氨基酸比例较差，且附带过多脂肪</t>
    <phoneticPr fontId="1" type="noConversion"/>
  </si>
  <si>
    <t>鱼虾和家禽家畜瘦肉均属之，不用区分品种（鱼虾因为含水率更高，熟后脱水率更高，蛋白质率会显著上升）</t>
    <phoneticPr fontId="1" type="noConversion"/>
  </si>
  <si>
    <t>代糖酸奶可简单等同于纯牛奶，特殊酸奶（含糖酸奶会多10g+糖，希腊酸奶近乎零脂）可参照营养表来计算</t>
    <phoneticPr fontId="1" type="noConversion"/>
  </si>
  <si>
    <t>碳水1% 蛋白质3% 脂肪2%，热量很低，可忽略不计，但肯麦等快餐店的高甜豆浆约放了20g糖，其实是一杯糖水</t>
    <phoneticPr fontId="1" type="noConversion"/>
  </si>
  <si>
    <t>牛肉干、鸡肉干，因为脱水率很高，蛋白质率就很高，建议碳水率（糖率）低于10%，好吃的肉干一般高于30%</t>
    <phoneticPr fontId="1" type="noConversion"/>
  </si>
  <si>
    <t>少有的低GI碳水，不要用于练后碳水；饱腹感极强；极高膳食纤维</t>
    <phoneticPr fontId="1" type="noConversion"/>
  </si>
  <si>
    <t>脂肪</t>
    <phoneticPr fontId="1" type="noConversion"/>
  </si>
  <si>
    <t>粽子</t>
    <phoneticPr fontId="1" type="noConversion"/>
  </si>
  <si>
    <t>【不是瘦肉】鸡鸭皮、大排、糖醋里脊、锅包肉、鸡翅、猪蹄、牛腩、牛排、排骨、烤肉、炸肉、午餐肉、肥牛、肥羊、肉肠、肉饼、肉馅、肉丸</t>
    <phoneticPr fontId="1" type="noConversion"/>
  </si>
  <si>
    <t>【瘦肉只有】a.去皮的鸡鸭肉  b.没有白色脂肪层的猪牛羊肉  c.鱼虾贝等水产  d.内脏的肝肾肚血心</t>
    <phoneticPr fontId="1" type="noConversion"/>
  </si>
  <si>
    <t>瘦肉只有：a.去皮的鸡鸭肉  b.没有白色脂肪层的猪牛羊肉  c.鱼虾贝等水产  d.内脏的肝肾肚血心
不是瘦肉：鸡鸭皮、大排、糖醋里脊、锅包肉、鸡翅、猪蹄、牛腩、牛排、排骨、烤肉、炸肉、午餐肉、肥牛、肥羊、肉肠、肉饼、肉馅、肉丸</t>
    <phoneticPr fontId="1" type="noConversion"/>
  </si>
  <si>
    <t>脂肪不计算</t>
    <phoneticPr fontId="1" type="noConversion"/>
  </si>
  <si>
    <t>解释
“菜肴带油”</t>
    <phoneticPr fontId="1" type="noConversion"/>
  </si>
  <si>
    <t>解释
“排除高脂肉”</t>
    <phoneticPr fontId="1" type="noConversion"/>
  </si>
  <si>
    <t>解释
“排除糖油混合物”</t>
    <phoneticPr fontId="1" type="noConversion"/>
  </si>
  <si>
    <t>饼干、蛋糕、点心、糕点、甜品、油条、煎饼、花式面包、膨化食品等，在营养率上表现为碳水和脂肪的比例低于3比1，以此作为碳水来源会让脂肪摄入超标，减脂期只能作为极偶尔的食物，增肌期可以稍宽松点</t>
    <phoneticPr fontId="1" type="noConversion"/>
  </si>
  <si>
    <r>
      <t>鸡蛋牛奶+菜肴带油，同时排除高脂肉和糖油混合物，脂肪摄入就合适，</t>
    </r>
    <r>
      <rPr>
        <sz val="9"/>
        <color rgb="FFFF0000"/>
        <rFont val="Calibri"/>
        <family val="3"/>
        <charset val="134"/>
        <scheme val="minor"/>
      </rPr>
      <t>不用搜集食物的脂肪率数据来计算脂肪量</t>
    </r>
    <phoneticPr fontId="1" type="noConversion"/>
  </si>
  <si>
    <t>菜肴必须是瘦肉菜的前提下，还应注意：
a.排除煎炒鸡蛋（例如番茄鸡蛋、韭菜鸡蛋）
b.排除油烧茄子（例如鱼香茄子、）
c.减少干煸菜肴（例如干煸豆角菜花、干煸鸡肉）
d.不用刻意杜绝重油菜（例如水煮牛肉、口水鸡等），可以在盘边刮一刮，让附着的油量减少，但肉必须是瘦肉</t>
    <phoneticPr fontId="1" type="noConversion"/>
  </si>
  <si>
    <r>
      <t>减脂方案</t>
    </r>
    <r>
      <rPr>
        <sz val="11"/>
        <color rgb="FFFFFFFF"/>
        <rFont val="等线"/>
        <family val="3"/>
        <charset val="134"/>
      </rPr>
      <t>（体重1-2周稳定不掉 请看表17《减脂-问答汇总》的第1问来调整）</t>
    </r>
  </si>
  <si>
    <t>女</t>
  </si>
  <si>
    <t>身高/m</t>
  </si>
  <si>
    <t>体重/kg</t>
  </si>
  <si>
    <t>体重下降10kg，基础代谢会下降约150大卡，减重10kg以内不用调整，减重达到10kg还要继续减，要么比本食谱每天少吃150大卡（100g米饭+1个全蛋），要么参考《有氧热量消耗》表每周多做1000大卡有氧（但不要加饮食）</t>
    <phoneticPr fontId="8" type="noConversion"/>
  </si>
  <si>
    <t>上午起床晚，早饭后练， 因此早饭作为练前餐垫肚子，练后吃午饭作为练后餐；力训日全天餐序：①早饭=练前餐 ②午饭=练后餐 ③晚饭=其他餐</t>
  </si>
  <si>
    <r>
      <t>碳水</t>
    </r>
    <r>
      <rPr>
        <i/>
        <sz val="10"/>
        <color rgb="FF000000"/>
        <rFont val="等线"/>
        <family val="3"/>
        <charset val="134"/>
      </rPr>
      <t>（输入配额请看视频17-21分钟）</t>
    </r>
  </si>
  <si>
    <r>
      <t>蛋白质</t>
    </r>
    <r>
      <rPr>
        <i/>
        <sz val="10"/>
        <color rgb="FF000000"/>
        <rFont val="等线"/>
        <family val="3"/>
        <charset val="134"/>
      </rPr>
      <t>（输入配额请看视频17-21分钟）</t>
    </r>
  </si>
  <si>
    <r>
      <t>男性60g</t>
    </r>
    <r>
      <rPr>
        <sz val="8"/>
        <color rgb="FF000000"/>
        <rFont val="等线"/>
        <family val="3"/>
        <charset val="134"/>
      </rPr>
      <t>（120kg体重以上加到70g）</t>
    </r>
    <r>
      <rPr>
        <sz val="10"/>
        <color rgb="FF000000"/>
        <rFont val="等线"/>
        <family val="3"/>
        <charset val="134"/>
      </rPr>
      <t xml:space="preserve"> 女性50g
但不要细算脂肪 按下面的文字指导来吃就行</t>
    </r>
  </si>
  <si>
    <t>力训日饮食</t>
  </si>
  <si>
    <r>
      <t>碳水</t>
    </r>
    <r>
      <rPr>
        <i/>
        <sz val="10"/>
        <rFont val="等线"/>
        <family val="3"/>
        <charset val="134"/>
      </rPr>
      <t>（食物重量计算请看视频23分10秒）</t>
    </r>
  </si>
  <si>
    <r>
      <t>蛋白质</t>
    </r>
    <r>
      <rPr>
        <i/>
        <sz val="10"/>
        <rFont val="等线"/>
        <family val="3"/>
        <charset val="134"/>
      </rPr>
      <t>（食物重量计算请看视频23分10秒）</t>
    </r>
  </si>
  <si>
    <t xml:space="preserve">脂肪这样吃↓                       </t>
  </si>
  <si>
    <t>* 吃了早饭就准备开练，不需要专门等待休息
* 怕太饱的话，可吃低饱腹感碳水（馒头/面包/面条）</t>
  </si>
  <si>
    <t>②午饭=练后餐</t>
  </si>
  <si>
    <t>③晚饭=其他餐</t>
  </si>
  <si>
    <t>* 瘦肉只有：①没有白色脂肪层的猪牛羊肉  ②去皮的鸡鸭肉 ③鱼虾贝 ④肝肾肚血
* 这些不是瘦肉：鸡鸭的皮、猪大排、糖醋里脊、锅包肉、炸鸡、烤肉、午餐肉、肥牛、肥羊、排骨、牛排、肉肠、肉饼、肉馅、肉丸</t>
  </si>
  <si>
    <t>* 瘦肉只有：①没有白色脂肪层的猪牛羊肉  ②去皮的鸡鸭肉 ③鱼虾贝 ④肝肾肚血心</t>
    <phoneticPr fontId="8" type="noConversion"/>
  </si>
  <si>
    <r>
      <t>休息日饮食</t>
    </r>
    <r>
      <rPr>
        <b/>
        <sz val="10"/>
        <color rgb="FFFFFFFF"/>
        <rFont val="等线"/>
        <family val="3"/>
        <charset val="134"/>
      </rPr>
      <t>（不力训就叫休息日 与是否有氧无关）</t>
    </r>
  </si>
  <si>
    <t>健身房三分化/健身房四分化/居家三分化训练计划，详见《训练计划》系列表格（本文件的表格编号19-22）</t>
    <phoneticPr fontId="1" type="noConversion"/>
  </si>
  <si>
    <t>午饭前练，因此午饭作为全天最大一顿的练后餐；力训日全天餐序：①早饭；②练前餐；③午饭=练后餐；④晚饭=其他餐</t>
  </si>
  <si>
    <t xml:space="preserve"> * 减脂的合适热量缺口为20%，应吃热量本该是平衡热量×0.8，但我们需要留出余地：一是因为研究表明人们在定量饮食里也会不自觉多吃约10-20%热量，二是因为下表有些食物的部分热量没有计入（如主食的蛋白质和脂肪），所以我们把应吃热量设计为理论平衡热量的1×0.8×0.8=0.64，算出的热量看似很低，不要被吓到，实际上你吃的热量是高于此数的，我们只是提前留了余地！</t>
  </si>
  <si>
    <t>①早饭</t>
  </si>
  <si>
    <t>②练前餐</t>
  </si>
  <si>
    <t>蛋白质不用吃</t>
  </si>
  <si>
    <t>一般就是垫点碳水，不吃蛋白质以免麻烦</t>
  </si>
  <si>
    <t>旺仔小馒头42g装/娃哈哈八宝粥（30g碳水）</t>
    <phoneticPr fontId="1" type="noConversion"/>
  </si>
  <si>
    <t>但如果是吃正餐，也可以搭配吃点蛋白质</t>
  </si>
  <si>
    <t>* 就是垫点碳水，不是正式“一餐”
* 只能吃到五六分饱，全饱无法锻炼
* 吃了就准备开练，不需要专门等待休息</t>
  </si>
  <si>
    <t>香蕉（小的20g碳水 大的30g碳水）</t>
    <phoneticPr fontId="1" type="noConversion"/>
  </si>
  <si>
    <t>更多便携碳水在表17《减脂问答汇总》第24问</t>
    <phoneticPr fontId="1" type="noConversion"/>
  </si>
  <si>
    <t>饮料（脉动30g碳水 瓶装可乐50g碳水）</t>
    <phoneticPr fontId="1" type="noConversion"/>
  </si>
  <si>
    <t>③午饭=练后餐</t>
  </si>
  <si>
    <t>《减脂问答汇总》第23问举例的低热量零食</t>
    <phoneticPr fontId="1" type="noConversion"/>
  </si>
  <si>
    <t>午饭后练， 因此午饭作为练前餐垫肚子，练后吃全天最大的一顿练后餐；力训日全天餐序：①早饭；②午饭=练前餐；③练后餐；④晚饭=其他餐</t>
  </si>
  <si>
    <t>②午饭=练前餐</t>
  </si>
  <si>
    <r>
      <rPr>
        <sz val="9"/>
        <color rgb="FFFF0000"/>
        <rFont val="等线"/>
        <family val="3"/>
        <charset val="134"/>
      </rPr>
      <t>* 就是垫点碳水，不是正式“一餐”</t>
    </r>
    <r>
      <rPr>
        <sz val="9"/>
        <color rgb="FF000000"/>
        <rFont val="等线"/>
        <family val="3"/>
        <charset val="134"/>
      </rPr>
      <t xml:space="preserve">
* 只能吃到五六分饱，全饱无法锻炼
* 吃了就准备开练，不需要专门等待休息</t>
    </r>
  </si>
  <si>
    <t>③练后餐</t>
  </si>
  <si>
    <t>有氧可以置换饮食（重要）</t>
    <phoneticPr fontId="8" type="noConversion"/>
  </si>
  <si>
    <t>①力训前，不要做有氧，会影响力训；②力训后，如果要做有氧，一般不要超过30分钟；③超过30分钟的有氧，要和力训隔开几小时，或者在休息日做</t>
    <phoneticPr fontId="8" type="noConversion"/>
  </si>
  <si>
    <t>时间点</t>
    <phoneticPr fontId="8" type="noConversion"/>
  </si>
  <si>
    <t>快走、跑步、骑行、游泳、爬楼、跳操、打球等均可，可以自测15秒脉搏算下心率，建议120-150次/分钟，但无需严格要求，有的有氧运动心率是高低波动不稳定的</t>
    <phoneticPr fontId="8" type="noConversion"/>
  </si>
  <si>
    <t>形式</t>
    <phoneticPr fontId="8" type="noConversion"/>
  </si>
  <si>
    <t>概况</t>
    <phoneticPr fontId="8" type="noConversion"/>
  </si>
  <si>
    <t>有氧方案</t>
    <phoneticPr fontId="8" type="noConversion"/>
  </si>
  <si>
    <t>训练计划</t>
    <phoneticPr fontId="8" type="noConversion"/>
  </si>
  <si>
    <t>新手尽量从健身房起步健身，非必要不要居家力训，居家力训对新手反而更难上手，如果必须居家健身，参照《训练计划-居家健身》的指导</t>
    <phoneticPr fontId="8" type="noConversion"/>
  </si>
  <si>
    <t>场所</t>
    <phoneticPr fontId="8" type="noConversion"/>
  </si>
  <si>
    <t>分化</t>
    <phoneticPr fontId="8" type="noConversion"/>
  </si>
  <si>
    <t>频率</t>
    <phoneticPr fontId="8" type="noConversion"/>
  </si>
  <si>
    <t>力训方案</t>
    <phoneticPr fontId="8" type="noConversion"/>
  </si>
  <si>
    <t>要点：蔬菜任意吃 水果要算碳水</t>
    <phoneticPr fontId="8" type="noConversion"/>
  </si>
  <si>
    <t>要点：脂肪配额有限 用来吃炒菜和蛋奶</t>
    <phoneticPr fontId="8" type="noConversion"/>
  </si>
  <si>
    <t>休息日合计</t>
    <phoneticPr fontId="8" type="noConversion"/>
  </si>
  <si>
    <t>③晚饭</t>
    <phoneticPr fontId="8" type="noConversion"/>
  </si>
  <si>
    <t>②午饭</t>
    <phoneticPr fontId="8" type="noConversion"/>
  </si>
  <si>
    <t>同上表</t>
    <phoneticPr fontId="8" type="noConversion"/>
  </si>
  <si>
    <t>①早饭（和绿表早饭完全相同）</t>
    <phoneticPr fontId="8" type="noConversion"/>
  </si>
  <si>
    <t>蔬菜/水果</t>
    <phoneticPr fontId="8" type="noConversion"/>
  </si>
  <si>
    <t>脂肪</t>
    <phoneticPr fontId="8" type="noConversion"/>
  </si>
  <si>
    <t>蛋白质</t>
    <phoneticPr fontId="8" type="noConversion"/>
  </si>
  <si>
    <t>碳水</t>
    <phoneticPr fontId="8" type="noConversion"/>
  </si>
  <si>
    <t>餐序</t>
    <phoneticPr fontId="8" type="noConversion"/>
  </si>
  <si>
    <t>力训日合计</t>
    <phoneticPr fontId="8" type="noConversion"/>
  </si>
  <si>
    <t>* 食堂外卖的宽油炒鸡蛋，每个鸡蛋的蛋白质只有6g，脂肪或高达20g以上，非常占据脂肪配额</t>
    <phoneticPr fontId="8" type="noConversion"/>
  </si>
  <si>
    <t>6.</t>
    <phoneticPr fontId="8" type="noConversion"/>
  </si>
  <si>
    <t>5.</t>
    <phoneticPr fontId="8" type="noConversion"/>
  </si>
  <si>
    <t>4.</t>
    <phoneticPr fontId="8" type="noConversion"/>
  </si>
  <si>
    <t>【置换主食的办法】吃水果的10g碳水=主食少吃30g熟米饭</t>
    <phoneticPr fontId="8" type="noConversion"/>
  </si>
  <si>
    <t>* 瘦肉只有：①没有白色脂肪层的猪牛羊肉  ②去皮的鸡鸭肉 ③鱼虾贝 ④肝肾肚血
* 这些不是瘦肉：鸡鸭的皮、猪大排、糖醋里脊、锅包肉、炸鸡、烤肉、午餐肉、肥牛、肥羊、排骨、牛排、肉肠、肉饼、肉馅、肉丸</t>
    <phoneticPr fontId="8" type="noConversion"/>
  </si>
  <si>
    <t>* 最好能练完后半小时内开始吃上
* 本餐如要吃蔬菜，少吃后吃以免压制胰岛素
* 有时没正餐可吃，可用便携快碳+蛋白粉解决</t>
    <phoneticPr fontId="8" type="noConversion"/>
  </si>
  <si>
    <t>2.</t>
    <phoneticPr fontId="8" type="noConversion"/>
  </si>
  <si>
    <t>*苹果/橙子/香蕉：20-30g碳水/个；梨子/蓝莓/猕猴桃：碳水率14%；柚子/桃子/葡萄/菠萝：碳水率10%；西瓜/蜜瓜/草莓：碳水率7%</t>
    <phoneticPr fontId="8" type="noConversion"/>
  </si>
  <si>
    <t>④晚饭=练后餐</t>
    <phoneticPr fontId="8" type="noConversion"/>
  </si>
  <si>
    <t>【水果要算碳水】水果实质是糖水，糖量可观，糖是碳水的一种形式，所以要计入碳水量来置换碳水那列的主食</t>
    <phoneticPr fontId="8" type="noConversion"/>
  </si>
  <si>
    <t>【高脂肉】鸡鸭皮、大排、糖醋里脊、锅包肉、鸡翅、猪蹄、牛腩、牛排、排骨、烤肉、炸肉、午餐肉、肥牛、肥羊、肉肠、肉饼、肉馅、肉丸</t>
    <phoneticPr fontId="8" type="noConversion"/>
  </si>
  <si>
    <t>* 就是垫点碳水，不是正式“一餐”
* 只能吃到五六分饱，全饱无法锻炼
* 吃了就准备开练，不需要专门等待休息</t>
    <phoneticPr fontId="8" type="noConversion"/>
  </si>
  <si>
    <t xml:space="preserve">  水果必须置换主食↓</t>
    <phoneticPr fontId="8" type="noConversion"/>
  </si>
  <si>
    <t xml:space="preserve"> 脂肪基本不吃↓</t>
    <phoneticPr fontId="8" type="noConversion"/>
  </si>
  <si>
    <t>——————————————————</t>
    <phoneticPr fontId="8" type="noConversion"/>
  </si>
  <si>
    <t>一般就是垫点碳水，不吃蛋白质以免麻烦</t>
    <phoneticPr fontId="8" type="noConversion"/>
  </si>
  <si>
    <t>蛋白质不用吃</t>
    <phoneticPr fontId="8" type="noConversion"/>
  </si>
  <si>
    <t>③练前餐</t>
    <phoneticPr fontId="8" type="noConversion"/>
  </si>
  <si>
    <t>【脂肪缺乏2】午饭晚饭吃低油无油菜（卤肉、炖肉、清炒、清炖、轻食、水煮），会比推荐模式少吃约20g脂肪摄入，请全天补吃30g坚果或4个蛋黄</t>
    <phoneticPr fontId="8" type="noConversion"/>
  </si>
  <si>
    <t>* 脂肪摄入另一基本来源是吃炒菜时摄入的油，如果正餐吃低油无油菜（卤肉、炖肉、清炒、清炖、轻食、水煮），请看右边脂肪一列【脂肪缺乏2】</t>
    <phoneticPr fontId="8" type="noConversion"/>
  </si>
  <si>
    <t>【这些不是蔬菜】红薯（20%）、土豆（18%）、玉米（18%）、山药（13%）、芋头（13%）是碳水主食，括号数字是其碳水率</t>
    <phoneticPr fontId="8" type="noConversion"/>
  </si>
  <si>
    <t>【脂肪缺乏1】早饭不吃蛋黄牛奶，会比推荐模式少吃约10-20g脂肪摄入，请全天补吃20g坚果或3个蛋黄</t>
    <phoneticPr fontId="8" type="noConversion"/>
  </si>
  <si>
    <t>④午饭=其他餐</t>
    <phoneticPr fontId="8" type="noConversion"/>
  </si>
  <si>
    <t>7.</t>
    <phoneticPr fontId="8" type="noConversion"/>
  </si>
  <si>
    <t>* 吃蔬菜的顺序：一般各餐，先吃、多吃蔬菜，后吃碳水，能压制胰岛素，帮助减脂；但力训的练后餐则相反，建议先吃碳水和蛋白质，少吃、后吃蔬菜，避免胰岛素被压制</t>
    <phoneticPr fontId="8" type="noConversion"/>
  </si>
  <si>
    <t>* 所谓吃“大众带油菜”，就是像黄焖鸡、酸菜鱼、鱼香肉丝、小炒牛肉等家常瘦肉菜，不要害怕菜里的油，但必须是瘦肉，高脂肉会导致脂肪超标（下面讲了什么是瘦肉，什么是高脂肉）</t>
    <phoneticPr fontId="8" type="noConversion"/>
  </si>
  <si>
    <t>【推荐模式】早饭吃左侧的蛋黄牛奶+正餐吃大众带油菜=脂肪摄入基本合适 :)</t>
    <phoneticPr fontId="8" type="noConversion"/>
  </si>
  <si>
    <t xml:space="preserve"> 蔬菜不限制↓</t>
    <phoneticPr fontId="8" type="noConversion"/>
  </si>
  <si>
    <t>脂肪这样吃↓</t>
    <phoneticPr fontId="8" type="noConversion"/>
  </si>
  <si>
    <t>1.</t>
    <phoneticPr fontId="8" type="noConversion"/>
  </si>
  <si>
    <t>①早饭</t>
    <phoneticPr fontId="8" type="noConversion"/>
  </si>
  <si>
    <t>力训日饮食</t>
    <phoneticPr fontId="8" type="noConversion"/>
  </si>
  <si>
    <t>有氧</t>
    <phoneticPr fontId="8" type="noConversion"/>
  </si>
  <si>
    <t>力训</t>
    <phoneticPr fontId="8" type="noConversion"/>
  </si>
  <si>
    <t>运动总览</t>
    <phoneticPr fontId="8" type="noConversion"/>
  </si>
  <si>
    <t>休息日</t>
    <phoneticPr fontId="8" type="noConversion"/>
  </si>
  <si>
    <t>力训日</t>
    <phoneticPr fontId="8" type="noConversion"/>
  </si>
  <si>
    <t>饮食总览</t>
    <phoneticPr fontId="8" type="noConversion"/>
  </si>
  <si>
    <r>
      <t>休息日(f</t>
    </r>
    <r>
      <rPr>
        <vertAlign val="subscript"/>
        <sz val="9"/>
        <color rgb="FF000000"/>
        <rFont val="等线"/>
        <family val="3"/>
        <charset val="134"/>
      </rPr>
      <t>2</t>
    </r>
    <r>
      <rPr>
        <sz val="9"/>
        <color rgb="FF000000"/>
        <rFont val="等线"/>
        <family val="3"/>
        <charset val="134"/>
      </rPr>
      <t>=e</t>
    </r>
    <r>
      <rPr>
        <vertAlign val="subscript"/>
        <sz val="9"/>
        <color rgb="FF000000"/>
        <rFont val="等线"/>
        <family val="3"/>
        <charset val="134"/>
      </rPr>
      <t>2</t>
    </r>
    <r>
      <rPr>
        <sz val="9"/>
        <color rgb="FF000000"/>
        <rFont val="等线"/>
        <family val="3"/>
        <charset val="134"/>
      </rPr>
      <t>×0.64)</t>
    </r>
  </si>
  <si>
    <r>
      <t>力训日(f</t>
    </r>
    <r>
      <rPr>
        <vertAlign val="subscript"/>
        <sz val="9"/>
        <color rgb="FF000000"/>
        <rFont val="等线"/>
        <family val="3"/>
        <charset val="134"/>
      </rPr>
      <t>1</t>
    </r>
    <r>
      <rPr>
        <sz val="9"/>
        <color rgb="FF000000"/>
        <rFont val="等线"/>
        <family val="3"/>
        <charset val="134"/>
      </rPr>
      <t>=e</t>
    </r>
    <r>
      <rPr>
        <vertAlign val="subscript"/>
        <sz val="9"/>
        <color rgb="FF000000"/>
        <rFont val="等线"/>
        <family val="3"/>
        <charset val="134"/>
      </rPr>
      <t>1</t>
    </r>
    <r>
      <rPr>
        <sz val="9"/>
        <color rgb="FF000000"/>
        <rFont val="等线"/>
        <family val="3"/>
        <charset val="134"/>
      </rPr>
      <t>×0.64)</t>
    </r>
  </si>
  <si>
    <t>应吃热量</t>
    <phoneticPr fontId="8" type="noConversion"/>
  </si>
  <si>
    <r>
      <t>休息日(e</t>
    </r>
    <r>
      <rPr>
        <vertAlign val="subscript"/>
        <sz val="9"/>
        <color rgb="FF000000"/>
        <rFont val="等线"/>
        <family val="3"/>
        <charset val="134"/>
      </rPr>
      <t>2</t>
    </r>
    <r>
      <rPr>
        <sz val="9"/>
        <color rgb="FF000000"/>
        <rFont val="等线"/>
        <family val="3"/>
        <charset val="134"/>
      </rPr>
      <t>=b+d)</t>
    </r>
  </si>
  <si>
    <r>
      <t>力训日(e</t>
    </r>
    <r>
      <rPr>
        <vertAlign val="subscript"/>
        <sz val="9"/>
        <color rgb="FF000000"/>
        <rFont val="等线"/>
        <family val="3"/>
        <charset val="134"/>
      </rPr>
      <t>1</t>
    </r>
    <r>
      <rPr>
        <sz val="9"/>
        <color rgb="FF000000"/>
        <rFont val="等线"/>
        <family val="3"/>
        <charset val="134"/>
      </rPr>
      <t>=b+c+d)</t>
    </r>
  </si>
  <si>
    <t>有氧消耗(d)</t>
    <phoneticPr fontId="8" type="noConversion"/>
  </si>
  <si>
    <t>力训消耗(c)</t>
    <phoneticPr fontId="8" type="noConversion"/>
  </si>
  <si>
    <t>无运动总消耗(b=a÷0.7)</t>
    <phoneticPr fontId="8" type="noConversion"/>
  </si>
  <si>
    <t>基础代谢(a)</t>
    <phoneticPr fontId="8" type="noConversion"/>
  </si>
  <si>
    <t>基础数据</t>
    <phoneticPr fontId="8" type="noConversion"/>
  </si>
  <si>
    <t>晚饭前练，因此晚饭作为全天最大一顿的练后餐；力训日全天餐序：①早饭；②午饭=其他餐；③练前餐；④晚饭=练后餐</t>
    <phoneticPr fontId="8" type="noConversion"/>
  </si>
  <si>
    <t>力训时间</t>
    <phoneticPr fontId="8" type="noConversion"/>
  </si>
  <si>
    <t>调整配额</t>
    <phoneticPr fontId="8" type="noConversion"/>
  </si>
  <si>
    <t>减到何时</t>
    <phoneticPr fontId="8" type="noConversion"/>
  </si>
  <si>
    <t>减重速度</t>
    <phoneticPr fontId="8" type="noConversion"/>
  </si>
  <si>
    <t>BMI</t>
    <phoneticPr fontId="8" type="noConversion"/>
  </si>
  <si>
    <t>体重</t>
    <phoneticPr fontId="8" type="noConversion"/>
  </si>
  <si>
    <t>身高</t>
    <phoneticPr fontId="8" type="noConversion"/>
  </si>
  <si>
    <t>性别</t>
    <phoneticPr fontId="8" type="noConversion"/>
  </si>
  <si>
    <t>④练后餐</t>
  </si>
  <si>
    <t>蛋白质不用吃</t>
    <phoneticPr fontId="1" type="noConversion"/>
  </si>
  <si>
    <t>③晚饭=练前餐</t>
    <phoneticPr fontId="1" type="noConversion"/>
  </si>
  <si>
    <t>②午饭=其他餐</t>
    <phoneticPr fontId="1" type="noConversion"/>
  </si>
  <si>
    <t>晚饭后练，因此晚饭作为练前餐垫肚子，练后吃全天最大一顿的练后餐；力训日全天餐序：①早饭；②午饭=其他餐；③晚饭=练前餐；④练后餐</t>
  </si>
  <si>
    <t>* 最好能练完后半小时内开始吃上
* 本餐如要吃蔬菜，少吃后吃以免压制胰岛素
* 此时已经不是普通饭点，怎么备餐？ a.提前从食堂打包  b.叫外卖 c.吃餐馆 d.便携快碳（吐司面包、馒头花卷、烤馍、营养米粉、旺仔小馒头等）+蛋白粉</t>
    <phoneticPr fontId="1" type="noConversion"/>
  </si>
  <si>
    <t>夜里练，因此白天要节约饮食配额，夜里练完吃全天最大一顿的练后餐；力训日全天餐序：①早饭；②午饭=其他餐；③晚饭=其他餐；④练后餐（如果练后餐离睡觉时间很近，则不宜在这种很晚的时间点锻炼）</t>
  </si>
  <si>
    <t>kg/cm</t>
  </si>
  <si>
    <t>2.4/1.3</t>
  </si>
  <si>
    <t>2.3/1.2</t>
  </si>
  <si>
    <t>2.2/1.2</t>
  </si>
  <si>
    <t>2.1/1.2</t>
  </si>
  <si>
    <t>2.1/1.1</t>
  </si>
  <si>
    <t>2.0/1.1</t>
  </si>
  <si>
    <t>1.9/1.0</t>
  </si>
  <si>
    <t>1.8/1.0</t>
  </si>
  <si>
    <t>2.5/1.3</t>
  </si>
  <si>
    <t>45kg</t>
  </si>
  <si>
    <t>2.4 / 1.3</t>
  </si>
  <si>
    <t>50kg</t>
  </si>
  <si>
    <t>2.3 / 1.2</t>
  </si>
  <si>
    <t>55kg</t>
  </si>
  <si>
    <t>2.2 / 1.2</t>
  </si>
  <si>
    <t>60kg</t>
  </si>
  <si>
    <t>2.1 / 1.2</t>
  </si>
  <si>
    <t>65kg</t>
  </si>
  <si>
    <t>2.1 / 1.1</t>
  </si>
  <si>
    <t>70kg</t>
  </si>
  <si>
    <t>2.0 / 1.1</t>
  </si>
  <si>
    <t>75kg</t>
  </si>
  <si>
    <t>80kg</t>
  </si>
  <si>
    <t>85kg</t>
  </si>
  <si>
    <t>1.9 / 1.0</t>
  </si>
  <si>
    <t>90kg</t>
  </si>
  <si>
    <t>95kg</t>
  </si>
  <si>
    <t>100kg</t>
  </si>
  <si>
    <t>105kg</t>
  </si>
  <si>
    <t>110kg</t>
  </si>
  <si>
    <t>1.8 / 1.0</t>
  </si>
  <si>
    <t>115kg</t>
  </si>
  <si>
    <t>2.5 / 1.3</t>
  </si>
  <si>
    <t>2.5 / 1.4</t>
  </si>
  <si>
    <t>2.3 / 1.3</t>
  </si>
  <si>
    <t>体重\身高</t>
  </si>
  <si>
    <t>150cm</t>
  </si>
  <si>
    <t>155cm</t>
  </si>
  <si>
    <t>160cm</t>
  </si>
  <si>
    <t>165cm</t>
  </si>
  <si>
    <t>170cm</t>
  </si>
  <si>
    <t>175cm</t>
  </si>
  <si>
    <t>180cm</t>
  </si>
  <si>
    <t>1.8/1.3</t>
  </si>
  <si>
    <t>-</t>
  </si>
  <si>
    <t>1.8/1.2</t>
  </si>
  <si>
    <t>1.9/1.3</t>
  </si>
  <si>
    <t>2.0/1.3</t>
  </si>
  <si>
    <t>1.9/1.2</t>
  </si>
  <si>
    <t>1.7/1.2</t>
  </si>
  <si>
    <t>2.1/1.3</t>
  </si>
  <si>
    <t>2.1/1.4</t>
  </si>
  <si>
    <t>1.7/1.1</t>
  </si>
  <si>
    <t>2.2/1.4</t>
  </si>
  <si>
    <t>1.8/1.1</t>
  </si>
  <si>
    <t>2.0/1.2</t>
  </si>
  <si>
    <t>1.7/1.0</t>
  </si>
  <si>
    <t>1.9/1.1</t>
  </si>
  <si>
    <t>1.6/1.0</t>
  </si>
  <si>
    <t>2.5/1.4</t>
  </si>
  <si>
    <t>2.3/1.3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</si>
</sst>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9">
    <numFmt numFmtId="164" formatCode="&quot;体重&quot;#&quot;kg&quot;"/>
    <numFmt numFmtId="165" formatCode="&quot;速&quot;&quot;度&quot;#&quot;km/h&quot;"/>
    <numFmt numFmtId="166" formatCode="0.0"/>
    <numFmt numFmtId="167" formatCode="[=1]&quot;男&quot;;[=2]&quot;女&quot;"/>
    <numFmt numFmtId="168" formatCode="#&quot;cm&quot;"/>
    <numFmt numFmtId="169" formatCode="#.0&quot;kg&quot;"/>
    <numFmt numFmtId="170" formatCode="#.0"/>
    <numFmt numFmtId="171" formatCode="#.0&quot;     * 医学指标：正常18.5-24   超重24-28   肥胖大于28&quot;"/>
    <numFmt numFmtId="172" formatCode="#.0&quot;（医学指标：正常18.5-24   超重24-28   肥胖大于28）&quot;"/>
    <numFmt numFmtId="173" formatCode="0_);[Red]\(0\)"/>
    <numFmt numFmtId="174" formatCode="&quot;体重减到&quot;#&quot;kg就进入正常体重范围了（BMI&lt;24），可考虑继续减一些或者转增肌，但注意没有足够肌肉量是不能追求清晰腹肌/马甲线这样的低体脂率的，否则其他部位会骨瘦如柴&quot;"/>
    <numFmt numFmtId="175" formatCode="[=1]&quot;场所：健身房练&quot;;[=2]&quot;场所：居家练&quot;"/>
    <numFmt numFmtId="176" formatCode="[=1]&quot;场所：健身房&quot;;[=2]&quot;场所：居家&quot;"/>
    <numFmt numFmtId="177" formatCode="#&quot;大卡&quot;"/>
    <numFmt numFmtId="178" formatCode="#.0&quot;g/kg&quot;"/>
    <numFmt numFmtId="179" formatCode="&quot;×   体重&quot;#&quot;kg   =  &quot;"/>
    <numFmt numFmtId="180" formatCode="&quot;总量&quot;#&quot;g&quot;"/>
    <numFmt numFmtId="181" formatCode="&quot;0&quot;#.0&quot;g&quot;"/>
    <numFmt numFmtId="182" formatCode="&quot;碳水&quot;#&quot;g（全天15%）&quot;"/>
    <numFmt numFmtId="183" formatCode="&quot;蛋白质&quot;#&quot;g（全天20%）&quot;"/>
    <numFmt numFmtId="184" formatCode="&quot;吐司面包/馒头花卷&quot;#&quot;g&quot;"/>
    <numFmt numFmtId="185" formatCode="&quot;速食燕麦片&quot;#&quot;g&quot;"/>
    <numFmt numFmtId="186" formatCode="&quot;燕麦麸皮&quot;#&quot;g&quot;"/>
    <numFmt numFmtId="187" formatCode="&quot;熟瘦肉&quot;#&quot;g（带油没事）&quot;"/>
    <numFmt numFmtId="188" formatCode="&quot;玉米/土豆&quot;#&quot;g（是甜玉米 不是糯玉米）&quot;"/>
    <numFmt numFmtId="189" formatCode="&quot;蛋白粉&quot;#&quot;g&quot;"/>
    <numFmt numFmtId="190" formatCode="&quot;红薯&quot;#&quot;g&quot;"/>
    <numFmt numFmtId="191" formatCode="&quot;熟面条&quot;#&quot;g（干面条则除以3）&quot;"/>
    <numFmt numFmtId="192" formatCode="&quot;熟米饭&quot;#&quot;g（生米则除以2.5）&quot;"/>
    <numFmt numFmtId="193" formatCode="&quot;碳水&quot;#&quot;g（全天35%）&quot;"/>
    <numFmt numFmtId="194" formatCode="&quot;营养米粉&quot;#&quot;g&quot;"/>
    <numFmt numFmtId="195" formatCode="&quot;碳水&quot;#&quot;g（全天20%）&quot;"/>
    <numFmt numFmtId="196" formatCode="&quot;碳水&quot;#&quot;g（全天10%）&quot;"/>
    <numFmt numFmtId="197" formatCode="&quot;碳水&quot;#&quot;g（全天100%）&quot;"/>
    <numFmt numFmtId="198" formatCode="&quot;蛋白质&quot;#&quot;g（全天100%）&quot;"/>
    <numFmt numFmtId="199" formatCode="&quot;脂肪0&quot;#.0&quot;g&quot;"/>
    <numFmt numFmtId="200" formatCode="&quot;碳水&quot;#&quot;g（和绿表早饭相同）&quot;"/>
    <numFmt numFmtId="201" formatCode="&quot;蛋白质&quot;#&quot;g（和绿表早饭相同）&quot;"/>
    <numFmt numFmtId="202" formatCode="&quot;熟面条&quot;#&quot;g（干面除以3）&quot;"/>
    <numFmt numFmtId="203" formatCode="&quot;熟米饭&quot;#&quot;g（生米除以2.5）&quot;"/>
    <numFmt numFmtId="204" formatCode="&quot;碳水&quot;#&quot;g&quot;"/>
    <numFmt numFmtId="205" formatCode="&quot;蛋白质&quot;#&quot;g（全天30%）&quot;"/>
    <numFmt numFmtId="206" formatCode="&quot;碳水&quot;#&quot;g（和绿表零食夜宵相同）&quot;"/>
    <numFmt numFmtId="207" formatCode="&quot;蛋白质&quot;#&quot;g（和绿表零食夜宵相同）&quot;"/>
    <numFmt numFmtId="208" formatCode="#.00&quot;cm&quot;"/>
    <numFmt numFmtId="209" formatCode="&quot;减脂，预期2周体重掉&quot;#&quot;斤，实际不会这么精准，不能掉体重请看我另发的《问答汇总》pdf第1条自己调整；少数大体重者，减10kg以上还要继续的话，请联系我教你调整配额，小体重者忽略&quot;"/>
    <numFmt numFmtId="210" formatCode="&quot;碳水&quot;#&quot;g（全天40%）&quot;"/>
    <numFmt numFmtId="211" formatCode="&quot;碳水&quot;#&quot;g（全天30%）&quot;"/>
    <numFmt numFmtId="212" formatCode="&quot;旺仔小馒头&quot;#&quot;g&quot;"/>
  </numFmts>
  <fonts count="60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0"/>
      <color theme="1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9"/>
      <name val="等线"/>
      <family val="2"/>
      <charset val="134"/>
    </font>
    <font>
      <b/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9"/>
      <color rgb="FF000000"/>
      <name val="等线"/>
      <family val="3"/>
      <charset val="134"/>
    </font>
    <font>
      <sz val="8"/>
      <color rgb="FF000000"/>
      <name val="等线"/>
      <family val="3"/>
      <charset val="134"/>
    </font>
    <font>
      <i/>
      <sz val="10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9"/>
      <color theme="1"/>
      <name val="Calibri"/>
      <family val="3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等线"/>
      <family val="2"/>
      <charset val="134"/>
    </font>
    <font>
      <b/>
      <sz val="14"/>
      <color rgb="FFFFFFFF"/>
      <name val="等线"/>
      <family val="3"/>
      <charset val="134"/>
    </font>
    <font>
      <sz val="10"/>
      <color rgb="FFFF0000"/>
      <name val="等线"/>
      <family val="3"/>
      <charset val="134"/>
    </font>
    <font>
      <sz val="9"/>
      <name val="等线"/>
      <family val="3"/>
      <charset val="134"/>
    </font>
    <font>
      <b/>
      <sz val="10"/>
      <color rgb="FFFF0000"/>
      <name val="等线"/>
      <family val="3"/>
      <charset val="134"/>
    </font>
    <font>
      <b/>
      <sz val="12"/>
      <color rgb="FFFFFFFF"/>
      <name val="等线"/>
      <family val="3"/>
      <charset val="134"/>
    </font>
    <font>
      <sz val="10"/>
      <color rgb="FFFFFFFF"/>
      <name val="等线"/>
      <family val="3"/>
      <charset val="134"/>
    </font>
    <font>
      <b/>
      <sz val="10"/>
      <name val="等线"/>
      <family val="3"/>
      <charset val="134"/>
    </font>
    <font>
      <i/>
      <sz val="10"/>
      <color rgb="FF595959"/>
      <name val="等线"/>
      <family val="3"/>
      <charset val="134"/>
    </font>
    <font>
      <sz val="9"/>
      <color rgb="FFFF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2"/>
      <charset val="134"/>
    </font>
    <font>
      <sz val="11"/>
      <color rgb="FFFFFFFF"/>
      <name val="等线"/>
      <family val="3"/>
      <charset val="134"/>
    </font>
    <font>
      <i/>
      <sz val="9"/>
      <color rgb="FF595959"/>
      <name val="等线"/>
      <family val="3"/>
      <charset val="134"/>
    </font>
    <font>
      <sz val="9"/>
      <color theme="1"/>
      <name val="等线"/>
      <family val="3"/>
      <charset val="134"/>
    </font>
    <font>
      <b/>
      <sz val="9"/>
      <name val="等线"/>
      <family val="3"/>
      <charset val="134"/>
    </font>
    <font>
      <sz val="6"/>
      <color theme="1"/>
      <name val="等线"/>
      <family val="3"/>
      <charset val="134"/>
    </font>
    <font>
      <sz val="6"/>
      <color theme="1"/>
      <name val="等线"/>
      <family val="2"/>
      <charset val="134"/>
    </font>
    <font>
      <sz val="11"/>
      <color theme="0"/>
      <name val="等线"/>
      <family val="3"/>
      <charset val="134"/>
    </font>
    <font>
      <b/>
      <sz val="11"/>
      <color theme="0"/>
      <name val="等线"/>
      <family val="3"/>
      <charset val="134"/>
    </font>
    <font>
      <sz val="10"/>
      <color theme="0"/>
      <name val="等线"/>
      <family val="3"/>
      <charset val="134"/>
    </font>
    <font>
      <b/>
      <sz val="16"/>
      <color rgb="FF000000"/>
      <name val="等线"/>
      <family val="3"/>
      <charset val="134"/>
    </font>
    <font>
      <sz val="8"/>
      <color rgb="FFFF0000"/>
      <name val="等线"/>
      <family val="2"/>
      <charset val="134"/>
    </font>
    <font>
      <i/>
      <sz val="10"/>
      <name val="等线"/>
      <family val="3"/>
      <charset val="134"/>
    </font>
    <font>
      <sz val="9"/>
      <color theme="1" tint="0.34998626667073579"/>
      <name val="等线"/>
      <family val="3"/>
      <charset val="134"/>
    </font>
    <font>
      <b/>
      <sz val="16"/>
      <color rgb="FFFF0000"/>
      <name val="等线"/>
      <family val="3"/>
      <charset val="134"/>
    </font>
    <font>
      <i/>
      <sz val="9"/>
      <color rgb="FF000000"/>
      <name val="等线"/>
      <family val="3"/>
      <charset val="134"/>
    </font>
    <font>
      <b/>
      <sz val="10"/>
      <color rgb="FFFFFFFF"/>
      <name val="等线"/>
      <family val="3"/>
      <charset val="134"/>
    </font>
    <font>
      <sz val="11"/>
      <color theme="1"/>
      <name val="Calibri"/>
      <family val="2"/>
      <scheme val="minor"/>
    </font>
    <font>
      <u/>
      <sz val="9"/>
      <color theme="1"/>
      <name val="Calibri"/>
      <family val="3"/>
      <charset val="134"/>
      <scheme val="minor"/>
    </font>
    <font>
      <sz val="9"/>
      <color rgb="FFFF0000"/>
      <name val="Calibri"/>
      <family val="3"/>
      <charset val="134"/>
      <scheme val="minor"/>
    </font>
    <font>
      <b/>
      <sz val="12"/>
      <color theme="1"/>
      <name val="Calibri"/>
      <family val="3"/>
      <charset val="134"/>
      <scheme val="minor"/>
    </font>
    <font>
      <b/>
      <sz val="9"/>
      <color theme="1"/>
      <name val="Calibri"/>
      <family val="3"/>
      <charset val="134"/>
      <scheme val="minor"/>
    </font>
    <font>
      <sz val="11"/>
      <color theme="1"/>
      <name val="等线"/>
      <family val="3"/>
      <charset val="134"/>
    </font>
    <font>
      <b/>
      <sz val="11"/>
      <color rgb="FFFFFFFF"/>
      <name val="等线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FF0000"/>
      <name val="等线"/>
      <family val="3"/>
      <charset val="134"/>
    </font>
    <font>
      <b/>
      <sz val="11"/>
      <name val="等线"/>
      <family val="3"/>
      <charset val="134"/>
    </font>
    <font>
      <b/>
      <sz val="9"/>
      <color rgb="FF000000"/>
      <name val="等线"/>
      <family val="3"/>
      <charset val="134"/>
    </font>
    <font>
      <sz val="8"/>
      <color theme="1"/>
      <name val="等线"/>
      <family val="3"/>
      <charset val="134"/>
    </font>
    <font>
      <i/>
      <sz val="8"/>
      <color rgb="FF595959"/>
      <name val="等线"/>
      <family val="3"/>
      <charset val="134"/>
    </font>
    <font>
      <b/>
      <sz val="8"/>
      <name val="等线"/>
      <family val="3"/>
      <charset val="134"/>
    </font>
    <font>
      <sz val="11"/>
      <color rgb="FF000000"/>
      <name val="等线"/>
      <family val="2"/>
      <charset val="134"/>
    </font>
    <font>
      <sz val="11"/>
      <color theme="1"/>
      <name val="等线"/>
      <family val="2"/>
    </font>
    <font>
      <vertAlign val="subscript"/>
      <sz val="9"/>
      <color rgb="FF000000"/>
      <name val="等线"/>
      <family val="3"/>
      <charset val="134"/>
    </font>
    <font>
      <b/>
      <sz val="11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B9BD5"/>
        <bgColor rgb="FFFFFFFF"/>
      </patternFill>
    </fill>
    <fill>
      <patternFill patternType="solid">
        <fgColor rgb="FF9BC2E6"/>
        <bgColor rgb="FFFFFFFF"/>
      </patternFill>
    </fill>
    <fill>
      <patternFill patternType="solid">
        <fgColor rgb="FF70AD47"/>
        <bgColor rgb="FFFFFFFF"/>
      </patternFill>
    </fill>
    <fill>
      <patternFill patternType="solid">
        <fgColor rgb="FFA9D08E"/>
        <bgColor rgb="FFFFFFFF"/>
      </patternFill>
    </fill>
    <fill>
      <patternFill patternType="solid">
        <fgColor rgb="FFC6E0B4"/>
        <bgColor rgb="FF000000"/>
      </patternFill>
    </fill>
    <fill>
      <patternFill patternType="solid">
        <fgColor rgb="FFC6E0B4"/>
        <bgColor rgb="FFFFFFFF"/>
      </patternFill>
    </fill>
    <fill>
      <patternFill patternType="solid">
        <fgColor rgb="FFE2EFDA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BDD7EE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000000"/>
      </patternFill>
    </fill>
    <fill>
      <patternFill patternType="solid">
        <fgColor rgb="FF9CC4E4"/>
        <bgColor rgb="FFFFFFFF"/>
      </patternFill>
    </fill>
    <fill>
      <patternFill patternType="solid">
        <fgColor rgb="FF9CC4E4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12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</cellStyleXfs>
  <cellXfs count="881">
    <xf numFmtId="0" fontId="0" fillId="0" borderId="0" xfId="0"/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166" fontId="6" fillId="4" borderId="4" xfId="0" applyNumberFormat="1" applyFont="1" applyFill="1" applyBorder="1" applyAlignment="1">
      <alignment horizontal="center" vertical="center"/>
    </xf>
    <xf numFmtId="1" fontId="9" fillId="4" borderId="4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5" fillId="16" borderId="4" xfId="4" applyFont="1" applyFill="1" applyBorder="1" applyAlignment="1">
      <alignment horizontal="center" vertical="center" wrapText="1"/>
    </xf>
    <xf numFmtId="170" fontId="6" fillId="3" borderId="1" xfId="4" applyNumberFormat="1" applyFont="1" applyFill="1" applyBorder="1" applyAlignment="1">
      <alignment horizontal="left" vertical="center" wrapText="1"/>
    </xf>
    <xf numFmtId="0" fontId="5" fillId="16" borderId="1" xfId="4" applyFont="1" applyFill="1" applyBorder="1" applyAlignment="1">
      <alignment horizontal="center" vertical="center" wrapText="1"/>
    </xf>
    <xf numFmtId="0" fontId="7" fillId="16" borderId="4" xfId="4" applyFont="1" applyFill="1" applyBorder="1" applyAlignment="1">
      <alignment horizontal="left" vertical="center" wrapText="1" indent="1"/>
    </xf>
    <xf numFmtId="176" fontId="7" fillId="16" borderId="4" xfId="4" applyNumberFormat="1" applyFont="1" applyFill="1" applyBorder="1" applyAlignment="1">
      <alignment horizontal="left" vertical="center" wrapText="1" indent="1"/>
    </xf>
    <xf numFmtId="0" fontId="6" fillId="16" borderId="4" xfId="4" applyFont="1" applyFill="1" applyBorder="1" applyAlignment="1">
      <alignment horizontal="center" vertical="center" wrapText="1"/>
    </xf>
    <xf numFmtId="179" fontId="6" fillId="16" borderId="2" xfId="4" applyNumberFormat="1" applyFont="1" applyFill="1" applyBorder="1" applyAlignment="1">
      <alignment horizontal="center" vertical="center" wrapText="1"/>
    </xf>
    <xf numFmtId="180" fontId="6" fillId="16" borderId="3" xfId="4" applyNumberFormat="1" applyFont="1" applyFill="1" applyBorder="1" applyAlignment="1">
      <alignment horizontal="left" vertical="center" wrapText="1"/>
    </xf>
    <xf numFmtId="0" fontId="21" fillId="17" borderId="4" xfId="5" applyFont="1" applyFill="1" applyBorder="1" applyAlignment="1">
      <alignment horizontal="center" vertical="center" wrapText="1"/>
    </xf>
    <xf numFmtId="0" fontId="14" fillId="19" borderId="5" xfId="0" applyFont="1" applyFill="1" applyBorder="1" applyAlignment="1">
      <alignment vertical="center"/>
    </xf>
    <xf numFmtId="0" fontId="6" fillId="20" borderId="5" xfId="7" applyFont="1" applyFill="1" applyBorder="1" applyAlignment="1">
      <alignment vertical="center" wrapText="1"/>
    </xf>
    <xf numFmtId="0" fontId="5" fillId="20" borderId="6" xfId="7" applyFont="1" applyFill="1" applyBorder="1" applyAlignment="1">
      <alignment horizontal="center" vertical="center" wrapText="1"/>
    </xf>
    <xf numFmtId="0" fontId="23" fillId="20" borderId="6" xfId="7" applyFont="1" applyFill="1" applyBorder="1" applyAlignment="1">
      <alignment vertical="center" wrapText="1"/>
    </xf>
    <xf numFmtId="0" fontId="14" fillId="19" borderId="6" xfId="0" applyFont="1" applyFill="1" applyBorder="1" applyAlignment="1">
      <alignment vertical="center" wrapText="1"/>
    </xf>
    <xf numFmtId="0" fontId="6" fillId="20" borderId="6" xfId="7" applyFont="1" applyFill="1" applyBorder="1" applyAlignment="1">
      <alignment vertical="center" wrapText="1"/>
    </xf>
    <xf numFmtId="0" fontId="14" fillId="19" borderId="0" xfId="0" applyFont="1" applyFill="1" applyAlignment="1">
      <alignment vertical="center"/>
    </xf>
    <xf numFmtId="0" fontId="14" fillId="19" borderId="15" xfId="0" applyFont="1" applyFill="1" applyBorder="1" applyAlignment="1">
      <alignment vertical="center"/>
    </xf>
    <xf numFmtId="0" fontId="6" fillId="19" borderId="6" xfId="7" applyFont="1" applyFill="1" applyBorder="1" applyAlignment="1">
      <alignment vertical="center" wrapText="1"/>
    </xf>
    <xf numFmtId="0" fontId="6" fillId="20" borderId="10" xfId="7" applyFont="1" applyFill="1" applyBorder="1" applyAlignment="1">
      <alignment vertical="center" wrapText="1"/>
    </xf>
    <xf numFmtId="199" fontId="21" fillId="17" borderId="4" xfId="5" applyNumberFormat="1" applyFont="1" applyFill="1" applyBorder="1" applyAlignment="1">
      <alignment horizontal="center" vertical="center" wrapText="1"/>
    </xf>
    <xf numFmtId="0" fontId="10" fillId="23" borderId="1" xfId="0" applyFont="1" applyFill="1" applyBorder="1" applyAlignment="1">
      <alignment horizontal="center" vertical="center"/>
    </xf>
    <xf numFmtId="0" fontId="10" fillId="23" borderId="4" xfId="0" applyFont="1" applyFill="1" applyBorder="1" applyAlignment="1">
      <alignment horizontal="center" vertical="center"/>
    </xf>
    <xf numFmtId="199" fontId="21" fillId="23" borderId="4" xfId="5" applyNumberFormat="1" applyFont="1" applyFill="1" applyBorder="1" applyAlignment="1">
      <alignment horizontal="center" vertical="center" wrapText="1"/>
    </xf>
    <xf numFmtId="49" fontId="27" fillId="18" borderId="1" xfId="8" applyNumberFormat="1" applyFont="1" applyFill="1" applyBorder="1" applyAlignment="1">
      <alignment horizontal="right" vertical="center" wrapText="1"/>
    </xf>
    <xf numFmtId="49" fontId="27" fillId="19" borderId="1" xfId="7" applyNumberFormat="1" applyFont="1" applyFill="1" applyBorder="1" applyAlignment="1">
      <alignment horizontal="right" vertical="center" wrapText="1"/>
    </xf>
    <xf numFmtId="49" fontId="27" fillId="21" borderId="1" xfId="6" applyNumberFormat="1" applyFont="1" applyFill="1" applyBorder="1" applyAlignment="1">
      <alignment horizontal="right" vertical="center" wrapText="1"/>
    </xf>
    <xf numFmtId="49" fontId="27" fillId="19" borderId="1" xfId="6" applyNumberFormat="1" applyFont="1" applyFill="1" applyBorder="1" applyAlignment="1">
      <alignment horizontal="right" vertical="center" wrapText="1"/>
    </xf>
    <xf numFmtId="49" fontId="27" fillId="3" borderId="1" xfId="8" applyNumberFormat="1" applyFont="1" applyFill="1" applyBorder="1" applyAlignment="1">
      <alignment horizontal="right" vertical="center" wrapText="1"/>
    </xf>
    <xf numFmtId="49" fontId="27" fillId="4" borderId="1" xfId="6" applyNumberFormat="1" applyFont="1" applyFill="1" applyBorder="1" applyAlignment="1">
      <alignment horizontal="right" vertical="center" wrapText="1"/>
    </xf>
    <xf numFmtId="49" fontId="27" fillId="26" borderId="1" xfId="6" applyNumberFormat="1" applyFont="1" applyFill="1" applyBorder="1" applyAlignment="1">
      <alignment horizontal="right" vertical="center" wrapText="1"/>
    </xf>
    <xf numFmtId="49" fontId="28" fillId="0" borderId="0" xfId="0" applyNumberFormat="1" applyFont="1" applyAlignment="1">
      <alignment horizontal="right" vertical="center"/>
    </xf>
    <xf numFmtId="49" fontId="27" fillId="22" borderId="1" xfId="7" applyNumberFormat="1" applyFont="1" applyFill="1" applyBorder="1" applyAlignment="1">
      <alignment horizontal="right" vertical="center" wrapText="1"/>
    </xf>
    <xf numFmtId="0" fontId="29" fillId="15" borderId="2" xfId="1" applyFont="1" applyFill="1" applyBorder="1" applyAlignment="1">
      <alignment horizontal="right" vertical="center" wrapText="1"/>
    </xf>
    <xf numFmtId="49" fontId="27" fillId="26" borderId="1" xfId="7" applyNumberFormat="1" applyFont="1" applyFill="1" applyBorder="1" applyAlignment="1">
      <alignment horizontal="right" vertical="center" wrapText="1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1" applyFont="1" applyFill="1" applyBorder="1" applyAlignment="1">
      <alignment horizontal="center" vertical="center" wrapText="1"/>
    </xf>
    <xf numFmtId="167" fontId="32" fillId="0" borderId="0" xfId="4" applyNumberFormat="1" applyFont="1" applyFill="1" applyBorder="1" applyAlignment="1">
      <alignment horizontal="left" vertical="center" wrapText="1"/>
    </xf>
    <xf numFmtId="169" fontId="32" fillId="0" borderId="0" xfId="4" applyNumberFormat="1" applyFont="1" applyFill="1" applyBorder="1" applyAlignment="1">
      <alignment horizontal="left" vertical="center" wrapText="1"/>
    </xf>
    <xf numFmtId="172" fontId="32" fillId="0" borderId="0" xfId="4" applyNumberFormat="1" applyFont="1" applyFill="1" applyBorder="1" applyAlignment="1">
      <alignment horizontal="left" vertical="center" wrapText="1"/>
    </xf>
    <xf numFmtId="174" fontId="32" fillId="0" borderId="0" xfId="4" applyNumberFormat="1" applyFont="1" applyFill="1" applyBorder="1" applyAlignment="1">
      <alignment horizontal="left" vertical="center" wrapText="1"/>
    </xf>
    <xf numFmtId="0" fontId="32" fillId="0" borderId="0" xfId="4" applyFont="1" applyFill="1" applyBorder="1" applyAlignment="1">
      <alignment vertical="center" wrapText="1"/>
    </xf>
    <xf numFmtId="176" fontId="33" fillId="0" borderId="0" xfId="4" applyNumberFormat="1" applyFont="1" applyFill="1" applyBorder="1" applyAlignment="1">
      <alignment horizontal="left" vertical="center" wrapText="1"/>
    </xf>
    <xf numFmtId="0" fontId="32" fillId="0" borderId="0" xfId="4" applyFont="1" applyFill="1" applyBorder="1" applyAlignment="1">
      <alignment horizontal="center" vertical="center" wrapText="1"/>
    </xf>
    <xf numFmtId="181" fontId="33" fillId="0" borderId="0" xfId="4" applyNumberFormat="1" applyFont="1" applyFill="1" applyBorder="1" applyAlignment="1">
      <alignment horizontal="center" vertical="center" wrapText="1"/>
    </xf>
    <xf numFmtId="0" fontId="32" fillId="0" borderId="0" xfId="4" applyFont="1" applyFill="1" applyBorder="1" applyAlignment="1">
      <alignment horizontal="left" vertical="center" wrapText="1"/>
    </xf>
    <xf numFmtId="0" fontId="33" fillId="0" borderId="0" xfId="5" applyFont="1" applyFill="1" applyBorder="1" applyAlignment="1">
      <alignment horizontal="center" vertical="center" wrapText="1"/>
    </xf>
    <xf numFmtId="0" fontId="32" fillId="0" borderId="0" xfId="5" applyFont="1" applyFill="1" applyBorder="1" applyAlignment="1">
      <alignment horizontal="center" vertical="center" wrapText="1"/>
    </xf>
    <xf numFmtId="0" fontId="32" fillId="0" borderId="0" xfId="7" applyFont="1" applyFill="1" applyBorder="1" applyAlignment="1">
      <alignment horizontal="left" vertical="center" wrapText="1"/>
    </xf>
    <xf numFmtId="0" fontId="34" fillId="0" borderId="0" xfId="0" applyFont="1" applyAlignment="1">
      <alignment vertical="center"/>
    </xf>
    <xf numFmtId="164" fontId="34" fillId="0" borderId="0" xfId="0" applyNumberFormat="1" applyFont="1" applyAlignment="1">
      <alignment vertical="center"/>
    </xf>
    <xf numFmtId="0" fontId="36" fillId="0" borderId="0" xfId="0" applyFont="1" applyAlignment="1">
      <alignment vertical="center"/>
    </xf>
    <xf numFmtId="49" fontId="27" fillId="22" borderId="7" xfId="7" applyNumberFormat="1" applyFont="1" applyFill="1" applyBorder="1" applyAlignment="1">
      <alignment vertical="center" wrapText="1"/>
    </xf>
    <xf numFmtId="49" fontId="27" fillId="22" borderId="14" xfId="7" applyNumberFormat="1" applyFont="1" applyFill="1" applyBorder="1" applyAlignment="1">
      <alignment vertical="center" wrapText="1"/>
    </xf>
    <xf numFmtId="49" fontId="27" fillId="22" borderId="11" xfId="7" applyNumberFormat="1" applyFont="1" applyFill="1" applyBorder="1" applyAlignment="1">
      <alignment vertical="center" wrapText="1"/>
    </xf>
    <xf numFmtId="49" fontId="27" fillId="28" borderId="1" xfId="7" applyNumberFormat="1" applyFont="1" applyFill="1" applyBorder="1" applyAlignment="1">
      <alignment horizontal="right" vertical="center" wrapText="1"/>
    </xf>
    <xf numFmtId="49" fontId="27" fillId="28" borderId="7" xfId="7" applyNumberFormat="1" applyFont="1" applyFill="1" applyBorder="1" applyAlignment="1">
      <alignment vertical="center" wrapText="1"/>
    </xf>
    <xf numFmtId="49" fontId="27" fillId="28" borderId="14" xfId="7" applyNumberFormat="1" applyFont="1" applyFill="1" applyBorder="1" applyAlignment="1">
      <alignment vertical="center" wrapText="1"/>
    </xf>
    <xf numFmtId="49" fontId="27" fillId="28" borderId="11" xfId="7" applyNumberFormat="1" applyFont="1" applyFill="1" applyBorder="1" applyAlignment="1">
      <alignment vertical="center" wrapText="1"/>
    </xf>
    <xf numFmtId="0" fontId="6" fillId="4" borderId="4" xfId="0" applyFont="1" applyFill="1" applyBorder="1" applyAlignment="1">
      <alignment horizontal="center" vertical="center"/>
    </xf>
    <xf numFmtId="165" fontId="8" fillId="4" borderId="4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1" fillId="0" borderId="0" xfId="0" applyFont="1"/>
    <xf numFmtId="9" fontId="3" fillId="0" borderId="0" xfId="9" applyFont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46" fillId="2" borderId="4" xfId="0" applyFont="1" applyFill="1" applyBorder="1" applyAlignment="1">
      <alignment vertical="center"/>
    </xf>
    <xf numFmtId="9" fontId="46" fillId="2" borderId="4" xfId="9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vertical="center"/>
    </xf>
    <xf numFmtId="9" fontId="11" fillId="2" borderId="4" xfId="9" applyFont="1" applyFill="1" applyBorder="1" applyAlignment="1">
      <alignment horizontal="center" vertical="center"/>
    </xf>
    <xf numFmtId="0" fontId="11" fillId="2" borderId="4" xfId="9" applyNumberFormat="1" applyFont="1" applyFill="1" applyBorder="1" applyAlignment="1">
      <alignment horizontal="center" vertical="center"/>
    </xf>
    <xf numFmtId="0" fontId="46" fillId="29" borderId="4" xfId="0" applyFont="1" applyFill="1" applyBorder="1" applyAlignment="1">
      <alignment horizontal="center" vertical="center"/>
    </xf>
    <xf numFmtId="9" fontId="46" fillId="29" borderId="4" xfId="9" applyFont="1" applyFill="1" applyBorder="1" applyAlignment="1">
      <alignment horizontal="center" vertical="center"/>
    </xf>
    <xf numFmtId="0" fontId="11" fillId="29" borderId="4" xfId="0" applyFont="1" applyFill="1" applyBorder="1" applyAlignment="1">
      <alignment vertical="center"/>
    </xf>
    <xf numFmtId="9" fontId="11" fillId="29" borderId="4" xfId="9" applyFont="1" applyFill="1" applyBorder="1" applyAlignment="1">
      <alignment horizontal="center" vertical="center"/>
    </xf>
    <xf numFmtId="0" fontId="47" fillId="0" borderId="0" xfId="0" applyFont="1" applyAlignment="1">
      <alignment vertical="center"/>
    </xf>
    <xf numFmtId="0" fontId="48" fillId="0" borderId="0" xfId="1" applyFont="1" applyFill="1" applyBorder="1" applyAlignment="1">
      <alignment horizontal="center" vertical="center" wrapText="1"/>
    </xf>
    <xf numFmtId="167" fontId="49" fillId="0" borderId="0" xfId="4" applyNumberFormat="1" applyFont="1" applyFill="1" applyBorder="1" applyAlignment="1">
      <alignment horizontal="left" vertical="center" wrapText="1"/>
    </xf>
    <xf numFmtId="172" fontId="49" fillId="0" borderId="0" xfId="4" applyNumberFormat="1" applyFont="1" applyFill="1" applyBorder="1" applyAlignment="1">
      <alignment horizontal="left" vertical="center" wrapText="1"/>
    </xf>
    <xf numFmtId="209" fontId="49" fillId="0" borderId="0" xfId="4" applyNumberFormat="1" applyFont="1" applyFill="1" applyBorder="1" applyAlignment="1">
      <alignment horizontal="left" vertical="center" wrapText="1"/>
    </xf>
    <xf numFmtId="174" fontId="49" fillId="0" borderId="0" xfId="4" applyNumberFormat="1" applyFont="1" applyFill="1" applyBorder="1" applyAlignment="1">
      <alignment horizontal="left" vertical="center" wrapText="1"/>
    </xf>
    <xf numFmtId="0" fontId="49" fillId="0" borderId="0" xfId="4" applyFont="1" applyFill="1" applyBorder="1" applyAlignment="1">
      <alignment vertical="center" wrapText="1"/>
    </xf>
    <xf numFmtId="176" fontId="50" fillId="0" borderId="0" xfId="4" applyNumberFormat="1" applyFont="1" applyFill="1" applyBorder="1" applyAlignment="1">
      <alignment horizontal="left" vertical="center" wrapText="1"/>
    </xf>
    <xf numFmtId="0" fontId="49" fillId="0" borderId="0" xfId="4" applyFont="1" applyFill="1" applyBorder="1" applyAlignment="1">
      <alignment horizontal="center" vertical="center" wrapText="1"/>
    </xf>
    <xf numFmtId="181" fontId="50" fillId="0" borderId="0" xfId="4" applyNumberFormat="1" applyFont="1" applyFill="1" applyBorder="1" applyAlignment="1">
      <alignment horizontal="center" vertical="center" wrapText="1"/>
    </xf>
    <xf numFmtId="0" fontId="49" fillId="0" borderId="0" xfId="4" applyFont="1" applyFill="1" applyBorder="1" applyAlignment="1">
      <alignment horizontal="left" vertical="center" wrapText="1"/>
    </xf>
    <xf numFmtId="0" fontId="48" fillId="0" borderId="0" xfId="5" applyFont="1" applyFill="1" applyBorder="1" applyAlignment="1">
      <alignment horizontal="center" vertical="center" wrapText="1"/>
    </xf>
    <xf numFmtId="0" fontId="26" fillId="0" borderId="0" xfId="5" applyFont="1" applyFill="1" applyBorder="1" applyAlignment="1">
      <alignment horizontal="center" vertical="center" wrapText="1"/>
    </xf>
    <xf numFmtId="0" fontId="51" fillId="0" borderId="0" xfId="5" applyFont="1" applyFill="1" applyBorder="1" applyAlignment="1">
      <alignment horizontal="center" vertical="center" wrapText="1"/>
    </xf>
    <xf numFmtId="0" fontId="5" fillId="19" borderId="6" xfId="7" applyFont="1" applyFill="1" applyBorder="1" applyAlignment="1">
      <alignment horizontal="center" vertical="center" wrapText="1"/>
    </xf>
    <xf numFmtId="0" fontId="49" fillId="0" borderId="0" xfId="7" applyFont="1" applyFill="1" applyBorder="1" applyAlignment="1">
      <alignment horizontal="left" vertical="center" wrapText="1"/>
    </xf>
    <xf numFmtId="0" fontId="7" fillId="19" borderId="6" xfId="0" applyFont="1" applyFill="1" applyBorder="1" applyAlignment="1">
      <alignment vertical="center" wrapText="1"/>
    </xf>
    <xf numFmtId="0" fontId="7" fillId="19" borderId="6" xfId="7" applyFont="1" applyFill="1" applyBorder="1" applyAlignment="1">
      <alignment vertical="center" wrapText="1"/>
    </xf>
    <xf numFmtId="0" fontId="49" fillId="19" borderId="0" xfId="0" applyFont="1" applyFill="1" applyAlignment="1">
      <alignment vertical="center"/>
    </xf>
    <xf numFmtId="0" fontId="49" fillId="19" borderId="15" xfId="0" applyFont="1" applyFill="1" applyBorder="1" applyAlignment="1">
      <alignment vertical="center"/>
    </xf>
    <xf numFmtId="0" fontId="17" fillId="20" borderId="6" xfId="7" applyFont="1" applyFill="1" applyBorder="1" applyAlignment="1">
      <alignment vertical="center" wrapText="1"/>
    </xf>
    <xf numFmtId="0" fontId="7" fillId="20" borderId="6" xfId="7" applyFont="1" applyFill="1" applyBorder="1" applyAlignment="1">
      <alignment vertical="center" wrapText="1"/>
    </xf>
    <xf numFmtId="0" fontId="15" fillId="0" borderId="0" xfId="1" applyFont="1" applyFill="1" applyBorder="1" applyAlignment="1">
      <alignment horizontal="center" vertical="center" wrapText="1"/>
    </xf>
    <xf numFmtId="167" fontId="6" fillId="0" borderId="0" xfId="4" applyNumberFormat="1" applyFont="1" applyFill="1" applyBorder="1" applyAlignment="1">
      <alignment horizontal="left" vertical="center" wrapText="1"/>
    </xf>
    <xf numFmtId="172" fontId="6" fillId="0" borderId="0" xfId="4" applyNumberFormat="1" applyFont="1" applyFill="1" applyBorder="1" applyAlignment="1">
      <alignment horizontal="left" vertical="center" wrapText="1"/>
    </xf>
    <xf numFmtId="209" fontId="6" fillId="0" borderId="0" xfId="4" applyNumberFormat="1" applyFont="1" applyFill="1" applyBorder="1" applyAlignment="1">
      <alignment horizontal="left" vertical="center" wrapText="1"/>
    </xf>
    <xf numFmtId="174" fontId="6" fillId="0" borderId="0" xfId="4" applyNumberFormat="1" applyFont="1" applyFill="1" applyBorder="1" applyAlignment="1">
      <alignment horizontal="left" vertical="center" wrapText="1"/>
    </xf>
    <xf numFmtId="0" fontId="6" fillId="0" borderId="0" xfId="4" applyFont="1" applyFill="1" applyBorder="1" applyAlignment="1">
      <alignment vertical="center" wrapText="1"/>
    </xf>
    <xf numFmtId="176" fontId="18" fillId="0" borderId="0" xfId="4" applyNumberFormat="1" applyFont="1" applyFill="1" applyBorder="1" applyAlignment="1">
      <alignment horizontal="left" vertical="center" wrapText="1"/>
    </xf>
    <xf numFmtId="0" fontId="6" fillId="0" borderId="0" xfId="4" applyFont="1" applyFill="1" applyBorder="1" applyAlignment="1">
      <alignment horizontal="center" vertical="center" wrapText="1"/>
    </xf>
    <xf numFmtId="181" fontId="18" fillId="0" borderId="0" xfId="4" applyNumberFormat="1" applyFont="1" applyFill="1" applyBorder="1" applyAlignment="1">
      <alignment horizontal="center" vertical="center" wrapText="1"/>
    </xf>
    <xf numFmtId="0" fontId="6" fillId="0" borderId="0" xfId="4" applyFont="1" applyFill="1" applyBorder="1" applyAlignment="1">
      <alignment horizontal="left" vertical="center" wrapText="1"/>
    </xf>
    <xf numFmtId="0" fontId="19" fillId="0" borderId="0" xfId="5" applyFont="1" applyFill="1" applyBorder="1" applyAlignment="1">
      <alignment horizontal="center" vertical="center" wrapText="1"/>
    </xf>
    <xf numFmtId="0" fontId="20" fillId="0" borderId="0" xfId="5" applyFont="1" applyFill="1" applyBorder="1" applyAlignment="1">
      <alignment horizontal="center" vertical="center" wrapText="1"/>
    </xf>
    <xf numFmtId="0" fontId="21" fillId="0" borderId="0" xfId="5" applyFont="1" applyFill="1" applyBorder="1" applyAlignment="1">
      <alignment horizontal="center" vertical="center" wrapText="1"/>
    </xf>
    <xf numFmtId="0" fontId="6" fillId="0" borderId="0" xfId="7" applyFont="1" applyFill="1" applyBorder="1" applyAlignment="1">
      <alignment horizontal="left" vertical="center" wrapText="1"/>
    </xf>
    <xf numFmtId="49" fontId="53" fillId="0" borderId="0" xfId="0" applyNumberFormat="1" applyFont="1" applyAlignment="1">
      <alignment horizontal="right" vertical="center"/>
    </xf>
    <xf numFmtId="49" fontId="54" fillId="18" borderId="1" xfId="8" applyNumberFormat="1" applyFont="1" applyFill="1" applyBorder="1" applyAlignment="1">
      <alignment horizontal="right" vertical="center" wrapText="1"/>
    </xf>
    <xf numFmtId="49" fontId="54" fillId="19" borderId="1" xfId="7" applyNumberFormat="1" applyFont="1" applyFill="1" applyBorder="1" applyAlignment="1">
      <alignment horizontal="right" vertical="center" wrapText="1"/>
    </xf>
    <xf numFmtId="49" fontId="54" fillId="21" borderId="1" xfId="6" applyNumberFormat="1" applyFont="1" applyFill="1" applyBorder="1" applyAlignment="1">
      <alignment horizontal="right" vertical="center" wrapText="1"/>
    </xf>
    <xf numFmtId="49" fontId="54" fillId="19" borderId="1" xfId="6" applyNumberFormat="1" applyFont="1" applyFill="1" applyBorder="1" applyAlignment="1">
      <alignment horizontal="right" vertical="center" wrapText="1"/>
    </xf>
    <xf numFmtId="0" fontId="55" fillId="15" borderId="2" xfId="1" applyFont="1" applyFill="1" applyBorder="1" applyAlignment="1">
      <alignment horizontal="right" vertical="center" wrapText="1"/>
    </xf>
    <xf numFmtId="0" fontId="10" fillId="23" borderId="13" xfId="0" applyFont="1" applyFill="1" applyBorder="1" applyAlignment="1">
      <alignment horizontal="center" vertical="center"/>
    </xf>
    <xf numFmtId="0" fontId="56" fillId="0" borderId="0" xfId="0" applyFont="1" applyAlignment="1">
      <alignment vertical="center"/>
    </xf>
    <xf numFmtId="0" fontId="57" fillId="0" borderId="0" xfId="0" applyFont="1"/>
    <xf numFmtId="49" fontId="7" fillId="0" borderId="0" xfId="0" applyNumberFormat="1" applyFont="1" applyAlignment="1">
      <alignment horizontal="right" vertical="center"/>
    </xf>
    <xf numFmtId="0" fontId="56" fillId="19" borderId="6" xfId="0" applyFont="1" applyFill="1" applyBorder="1" applyAlignment="1">
      <alignment vertical="center" wrapText="1"/>
    </xf>
    <xf numFmtId="0" fontId="56" fillId="19" borderId="0" xfId="0" applyFont="1" applyFill="1" applyAlignment="1">
      <alignment vertical="center"/>
    </xf>
    <xf numFmtId="0" fontId="56" fillId="19" borderId="15" xfId="0" applyFont="1" applyFill="1" applyBorder="1" applyAlignment="1">
      <alignment vertical="center"/>
    </xf>
    <xf numFmtId="0" fontId="56" fillId="0" borderId="0" xfId="0" applyFont="1" applyAlignment="1">
      <alignment vertical="center" wrapText="1"/>
    </xf>
    <xf numFmtId="0" fontId="56" fillId="19" borderId="5" xfId="0" applyFont="1" applyFill="1" applyBorder="1" applyAlignment="1">
      <alignment vertical="center"/>
    </xf>
    <xf numFmtId="0" fontId="14" fillId="0" borderId="0" xfId="0" applyFont="1" applyAlignment="1">
      <alignment vertical="center" wrapText="1"/>
    </xf>
    <xf numFmtId="0" fontId="10" fillId="23" borderId="1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left" vertical="center"/>
    </xf>
    <xf numFmtId="49" fontId="6" fillId="3" borderId="2" xfId="0" applyNumberFormat="1" applyFont="1" applyFill="1" applyBorder="1" applyAlignment="1">
      <alignment horizontal="left" vertical="center"/>
    </xf>
    <xf numFmtId="49" fontId="6" fillId="3" borderId="3" xfId="0" applyNumberFormat="1" applyFont="1" applyFill="1" applyBorder="1" applyAlignment="1">
      <alignment horizontal="left" vertical="center"/>
    </xf>
    <xf numFmtId="0" fontId="19" fillId="17" borderId="1" xfId="5" applyFont="1" applyFill="1" applyBorder="1" applyAlignment="1">
      <alignment horizontal="center" vertical="center" wrapText="1"/>
    </xf>
    <xf numFmtId="0" fontId="19" fillId="17" borderId="2" xfId="5" applyFont="1" applyFill="1" applyBorder="1" applyAlignment="1">
      <alignment horizontal="center" vertical="center" wrapText="1"/>
    </xf>
    <xf numFmtId="0" fontId="19" fillId="17" borderId="3" xfId="5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/>
    </xf>
    <xf numFmtId="0" fontId="5" fillId="22" borderId="2" xfId="0" applyFont="1" applyFill="1" applyBorder="1" applyAlignment="1">
      <alignment horizontal="center" vertical="center"/>
    </xf>
    <xf numFmtId="0" fontId="5" fillId="22" borderId="3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left" vertical="center"/>
    </xf>
    <xf numFmtId="0" fontId="6" fillId="22" borderId="2" xfId="0" applyFont="1" applyFill="1" applyBorder="1" applyAlignment="1">
      <alignment horizontal="left" vertical="center"/>
    </xf>
    <xf numFmtId="0" fontId="6" fillId="22" borderId="3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9" fillId="23" borderId="1" xfId="5" applyFont="1" applyFill="1" applyBorder="1" applyAlignment="1">
      <alignment horizontal="center" vertical="center" wrapText="1"/>
    </xf>
    <xf numFmtId="0" fontId="19" fillId="23" borderId="2" xfId="5" applyFont="1" applyFill="1" applyBorder="1" applyAlignment="1">
      <alignment horizontal="center" vertical="center" wrapText="1"/>
    </xf>
    <xf numFmtId="0" fontId="19" fillId="23" borderId="3" xfId="5" applyFont="1" applyFill="1" applyBorder="1" applyAlignment="1">
      <alignment horizontal="center" vertical="center" wrapText="1"/>
    </xf>
    <xf numFmtId="0" fontId="6" fillId="16" borderId="4" xfId="4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189" fontId="22" fillId="27" borderId="12" xfId="8" applyNumberFormat="1" applyFont="1" applyFill="1" applyBorder="1" applyAlignment="1">
      <alignment vertical="center" wrapText="1"/>
    </xf>
    <xf numFmtId="189" fontId="22" fillId="27" borderId="13" xfId="8" applyNumberFormat="1" applyFont="1" applyFill="1" applyBorder="1" applyAlignment="1">
      <alignment vertical="center" wrapText="1"/>
    </xf>
    <xf numFmtId="0" fontId="21" fillId="15" borderId="1" xfId="1" applyFont="1" applyFill="1" applyBorder="1" applyAlignment="1">
      <alignment horizontal="left" vertical="center" wrapText="1"/>
    </xf>
    <xf numFmtId="0" fontId="21" fillId="15" borderId="2" xfId="1" applyFont="1" applyFill="1" applyBorder="1" applyAlignment="1">
      <alignment horizontal="left" vertical="center" wrapText="1"/>
    </xf>
    <xf numFmtId="0" fontId="21" fillId="15" borderId="3" xfId="1" applyFont="1" applyFill="1" applyBorder="1" applyAlignment="1">
      <alignment horizontal="left" vertical="center" wrapText="1"/>
    </xf>
    <xf numFmtId="197" fontId="21" fillId="15" borderId="1" xfId="1" applyNumberFormat="1" applyFont="1" applyFill="1" applyBorder="1" applyAlignment="1">
      <alignment horizontal="center" vertical="center" wrapText="1"/>
    </xf>
    <xf numFmtId="197" fontId="21" fillId="15" borderId="2" xfId="1" applyNumberFormat="1" applyFont="1" applyFill="1" applyBorder="1" applyAlignment="1">
      <alignment horizontal="center" vertical="center" wrapText="1"/>
    </xf>
    <xf numFmtId="197" fontId="21" fillId="15" borderId="3" xfId="1" applyNumberFormat="1" applyFont="1" applyFill="1" applyBorder="1" applyAlignment="1">
      <alignment horizontal="center" vertical="center" wrapText="1"/>
    </xf>
    <xf numFmtId="198" fontId="21" fillId="15" borderId="1" xfId="1" applyNumberFormat="1" applyFont="1" applyFill="1" applyBorder="1" applyAlignment="1">
      <alignment horizontal="center" vertical="center" wrapText="1"/>
    </xf>
    <xf numFmtId="198" fontId="21" fillId="15" borderId="2" xfId="1" applyNumberFormat="1" applyFont="1" applyFill="1" applyBorder="1" applyAlignment="1">
      <alignment horizontal="center" vertical="center" wrapText="1"/>
    </xf>
    <xf numFmtId="198" fontId="21" fillId="15" borderId="3" xfId="1" applyNumberFormat="1" applyFont="1" applyFill="1" applyBorder="1" applyAlignment="1">
      <alignment horizontal="center" vertical="center" wrapText="1"/>
    </xf>
    <xf numFmtId="0" fontId="21" fillId="3" borderId="7" xfId="8" applyFont="1" applyFill="1" applyBorder="1" applyAlignment="1">
      <alignment horizontal="left" wrapText="1"/>
    </xf>
    <xf numFmtId="0" fontId="21" fillId="3" borderId="8" xfId="8" applyFont="1" applyFill="1" applyBorder="1" applyAlignment="1">
      <alignment horizontal="left" wrapText="1"/>
    </xf>
    <xf numFmtId="0" fontId="21" fillId="3" borderId="9" xfId="8" applyFont="1" applyFill="1" applyBorder="1" applyAlignment="1">
      <alignment horizontal="left" wrapText="1"/>
    </xf>
    <xf numFmtId="0" fontId="21" fillId="3" borderId="14" xfId="8" applyFont="1" applyFill="1" applyBorder="1" applyAlignment="1">
      <alignment horizontal="left" wrapText="1"/>
    </xf>
    <xf numFmtId="0" fontId="21" fillId="3" borderId="0" xfId="8" applyFont="1" applyFill="1" applyBorder="1" applyAlignment="1">
      <alignment horizontal="left" wrapText="1"/>
    </xf>
    <xf numFmtId="0" fontId="21" fillId="3" borderId="15" xfId="8" applyFont="1" applyFill="1" applyBorder="1" applyAlignment="1">
      <alignment horizontal="left" wrapText="1"/>
    </xf>
    <xf numFmtId="206" fontId="5" fillId="16" borderId="1" xfId="4" applyNumberFormat="1" applyFont="1" applyFill="1" applyBorder="1" applyAlignment="1">
      <alignment horizontal="center" vertical="center" wrapText="1"/>
    </xf>
    <xf numFmtId="206" fontId="5" fillId="16" borderId="2" xfId="4" applyNumberFormat="1" applyFont="1" applyFill="1" applyBorder="1" applyAlignment="1">
      <alignment horizontal="center" vertical="center" wrapText="1"/>
    </xf>
    <xf numFmtId="206" fontId="5" fillId="16" borderId="3" xfId="4" applyNumberFormat="1" applyFont="1" applyFill="1" applyBorder="1" applyAlignment="1">
      <alignment horizontal="center" vertical="center" wrapText="1"/>
    </xf>
    <xf numFmtId="207" fontId="5" fillId="16" borderId="1" xfId="4" applyNumberFormat="1" applyFont="1" applyFill="1" applyBorder="1" applyAlignment="1">
      <alignment horizontal="center" vertical="center" wrapText="1"/>
    </xf>
    <xf numFmtId="207" fontId="5" fillId="16" borderId="2" xfId="4" applyNumberFormat="1" applyFont="1" applyFill="1" applyBorder="1" applyAlignment="1">
      <alignment horizontal="center" vertical="center" wrapText="1"/>
    </xf>
    <xf numFmtId="207" fontId="5" fillId="16" borderId="3" xfId="4" applyNumberFormat="1" applyFont="1" applyFill="1" applyBorder="1" applyAlignment="1">
      <alignment horizontal="center" vertical="center" wrapText="1"/>
    </xf>
    <xf numFmtId="187" fontId="22" fillId="27" borderId="2" xfId="8" applyNumberFormat="1" applyFont="1" applyFill="1" applyBorder="1" applyAlignment="1">
      <alignment horizontal="left" vertical="center" wrapText="1"/>
    </xf>
    <xf numFmtId="187" fontId="22" fillId="27" borderId="3" xfId="8" applyNumberFormat="1" applyFont="1" applyFill="1" applyBorder="1" applyAlignment="1">
      <alignment horizontal="left" vertical="center" wrapText="1"/>
    </xf>
    <xf numFmtId="0" fontId="23" fillId="3" borderId="14" xfId="0" applyFont="1" applyFill="1" applyBorder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0" fontId="7" fillId="3" borderId="15" xfId="0" applyFont="1" applyFill="1" applyBorder="1" applyAlignment="1">
      <alignment horizontal="left" vertical="top" wrapText="1"/>
    </xf>
    <xf numFmtId="0" fontId="7" fillId="3" borderId="14" xfId="0" applyFont="1" applyFill="1" applyBorder="1" applyAlignment="1">
      <alignment horizontal="left" vertical="top" wrapText="1"/>
    </xf>
    <xf numFmtId="0" fontId="7" fillId="3" borderId="11" xfId="0" applyFont="1" applyFill="1" applyBorder="1" applyAlignment="1">
      <alignment horizontal="left" vertical="top" wrapText="1"/>
    </xf>
    <xf numFmtId="0" fontId="7" fillId="3" borderId="12" xfId="0" applyFont="1" applyFill="1" applyBorder="1" applyAlignment="1">
      <alignment horizontal="left" vertical="top" wrapText="1"/>
    </xf>
    <xf numFmtId="0" fontId="7" fillId="3" borderId="13" xfId="0" applyFont="1" applyFill="1" applyBorder="1" applyAlignment="1">
      <alignment horizontal="left" vertical="top" wrapText="1"/>
    </xf>
    <xf numFmtId="189" fontId="22" fillId="27" borderId="8" xfId="8" applyNumberFormat="1" applyFont="1" applyFill="1" applyBorder="1" applyAlignment="1">
      <alignment horizontal="left" vertical="center" wrapText="1"/>
    </xf>
    <xf numFmtId="189" fontId="22" fillId="27" borderId="9" xfId="8" applyNumberFormat="1" applyFont="1" applyFill="1" applyBorder="1" applyAlignment="1">
      <alignment horizontal="left" vertical="center" wrapText="1"/>
    </xf>
    <xf numFmtId="49" fontId="38" fillId="27" borderId="7" xfId="8" applyNumberFormat="1" applyFont="1" applyFill="1" applyBorder="1" applyAlignment="1">
      <alignment horizontal="center" vertical="center" wrapText="1"/>
    </xf>
    <xf numFmtId="49" fontId="23" fillId="27" borderId="8" xfId="8" applyNumberFormat="1" applyFont="1" applyFill="1" applyBorder="1" applyAlignment="1">
      <alignment horizontal="center" vertical="center" wrapText="1"/>
    </xf>
    <xf numFmtId="49" fontId="23" fillId="27" borderId="9" xfId="8" applyNumberFormat="1" applyFont="1" applyFill="1" applyBorder="1" applyAlignment="1">
      <alignment horizontal="center" vertical="center" wrapText="1"/>
    </xf>
    <xf numFmtId="49" fontId="23" fillId="27" borderId="11" xfId="8" applyNumberFormat="1" applyFont="1" applyFill="1" applyBorder="1" applyAlignment="1">
      <alignment horizontal="center" vertical="center" wrapText="1"/>
    </xf>
    <xf numFmtId="49" fontId="23" fillId="27" borderId="12" xfId="8" applyNumberFormat="1" applyFont="1" applyFill="1" applyBorder="1" applyAlignment="1">
      <alignment horizontal="center" vertical="center" wrapText="1"/>
    </xf>
    <xf numFmtId="49" fontId="23" fillId="27" borderId="13" xfId="8" applyNumberFormat="1" applyFont="1" applyFill="1" applyBorder="1" applyAlignment="1">
      <alignment horizontal="center" vertical="center" wrapText="1"/>
    </xf>
    <xf numFmtId="49" fontId="22" fillId="27" borderId="1" xfId="8" applyNumberFormat="1" applyFont="1" applyFill="1" applyBorder="1" applyAlignment="1">
      <alignment horizontal="left" vertical="center" wrapText="1"/>
    </xf>
    <xf numFmtId="49" fontId="22" fillId="27" borderId="2" xfId="8" applyNumberFormat="1" applyFont="1" applyFill="1" applyBorder="1" applyAlignment="1">
      <alignment horizontal="left" vertical="center" wrapText="1"/>
    </xf>
    <xf numFmtId="49" fontId="22" fillId="27" borderId="3" xfId="8" applyNumberFormat="1" applyFont="1" applyFill="1" applyBorder="1" applyAlignment="1">
      <alignment horizontal="left" vertical="center" wrapText="1"/>
    </xf>
    <xf numFmtId="189" fontId="22" fillId="27" borderId="0" xfId="8" applyNumberFormat="1" applyFont="1" applyFill="1" applyBorder="1" applyAlignment="1">
      <alignment vertical="center" wrapText="1"/>
    </xf>
    <xf numFmtId="189" fontId="22" fillId="27" borderId="15" xfId="8" applyNumberFormat="1" applyFont="1" applyFill="1" applyBorder="1" applyAlignment="1">
      <alignment vertical="center" wrapText="1"/>
    </xf>
    <xf numFmtId="0" fontId="5" fillId="25" borderId="7" xfId="2" applyFont="1" applyFill="1" applyBorder="1" applyAlignment="1">
      <alignment horizontal="left" vertical="center" wrapText="1"/>
    </xf>
    <xf numFmtId="0" fontId="5" fillId="25" borderId="8" xfId="2" applyFont="1" applyFill="1" applyBorder="1" applyAlignment="1">
      <alignment horizontal="left" vertical="center" wrapText="1"/>
    </xf>
    <xf numFmtId="0" fontId="5" fillId="25" borderId="9" xfId="2" applyFont="1" applyFill="1" applyBorder="1" applyAlignment="1">
      <alignment horizontal="left" vertical="center" wrapText="1"/>
    </xf>
    <xf numFmtId="0" fontId="5" fillId="25" borderId="14" xfId="2" applyFont="1" applyFill="1" applyBorder="1" applyAlignment="1">
      <alignment horizontal="left" vertical="center" wrapText="1"/>
    </xf>
    <xf numFmtId="0" fontId="5" fillId="25" borderId="0" xfId="2" applyFont="1" applyFill="1" applyBorder="1" applyAlignment="1">
      <alignment horizontal="left" vertical="center" wrapText="1"/>
    </xf>
    <xf numFmtId="0" fontId="5" fillId="25" borderId="15" xfId="2" applyFont="1" applyFill="1" applyBorder="1" applyAlignment="1">
      <alignment horizontal="left" vertical="center" wrapText="1"/>
    </xf>
    <xf numFmtId="0" fontId="5" fillId="25" borderId="11" xfId="2" applyFont="1" applyFill="1" applyBorder="1" applyAlignment="1">
      <alignment horizontal="left" vertical="center" wrapText="1"/>
    </xf>
    <xf numFmtId="0" fontId="5" fillId="25" borderId="12" xfId="2" applyFont="1" applyFill="1" applyBorder="1" applyAlignment="1">
      <alignment horizontal="left" vertical="center" wrapText="1"/>
    </xf>
    <xf numFmtId="0" fontId="5" fillId="25" borderId="13" xfId="2" applyFont="1" applyFill="1" applyBorder="1" applyAlignment="1">
      <alignment horizontal="left" vertical="center" wrapText="1"/>
    </xf>
    <xf numFmtId="204" fontId="5" fillId="25" borderId="1" xfId="2" applyNumberFormat="1" applyFont="1" applyFill="1" applyBorder="1" applyAlignment="1">
      <alignment horizontal="center" vertical="center" wrapText="1"/>
    </xf>
    <xf numFmtId="204" fontId="5" fillId="25" borderId="2" xfId="2" applyNumberFormat="1" applyFont="1" applyFill="1" applyBorder="1" applyAlignment="1">
      <alignment horizontal="center" vertical="center" wrapText="1"/>
    </xf>
    <xf numFmtId="204" fontId="5" fillId="25" borderId="3" xfId="2" applyNumberFormat="1" applyFont="1" applyFill="1" applyBorder="1" applyAlignment="1">
      <alignment horizontal="center" vertical="center" wrapText="1"/>
    </xf>
    <xf numFmtId="205" fontId="5" fillId="25" borderId="1" xfId="2" applyNumberFormat="1" applyFont="1" applyFill="1" applyBorder="1" applyAlignment="1">
      <alignment horizontal="center" vertical="center" wrapText="1"/>
    </xf>
    <xf numFmtId="205" fontId="5" fillId="25" borderId="2" xfId="2" applyNumberFormat="1" applyFont="1" applyFill="1" applyBorder="1" applyAlignment="1">
      <alignment horizontal="center" vertical="center" wrapText="1"/>
    </xf>
    <xf numFmtId="205" fontId="5" fillId="25" borderId="3" xfId="2" applyNumberFormat="1" applyFont="1" applyFill="1" applyBorder="1" applyAlignment="1">
      <alignment horizontal="center" vertical="center" wrapText="1"/>
    </xf>
    <xf numFmtId="203" fontId="22" fillId="26" borderId="2" xfId="6" applyNumberFormat="1" applyFont="1" applyFill="1" applyBorder="1" applyAlignment="1">
      <alignment horizontal="left" vertical="center" wrapText="1"/>
    </xf>
    <xf numFmtId="203" fontId="22" fillId="26" borderId="3" xfId="6" applyNumberFormat="1" applyFont="1" applyFill="1" applyBorder="1" applyAlignment="1">
      <alignment horizontal="left" vertical="center" wrapText="1"/>
    </xf>
    <xf numFmtId="187" fontId="22" fillId="26" borderId="2" xfId="7" applyNumberFormat="1" applyFont="1" applyFill="1" applyBorder="1" applyAlignment="1">
      <alignment horizontal="left" vertical="center" wrapText="1"/>
    </xf>
    <xf numFmtId="187" fontId="22" fillId="26" borderId="3" xfId="7" applyNumberFormat="1" applyFont="1" applyFill="1" applyBorder="1" applyAlignment="1">
      <alignment horizontal="left" vertical="center" wrapText="1"/>
    </xf>
    <xf numFmtId="202" fontId="22" fillId="26" borderId="2" xfId="6" applyNumberFormat="1" applyFont="1" applyFill="1" applyBorder="1" applyAlignment="1">
      <alignment horizontal="left" vertical="center" wrapText="1"/>
    </xf>
    <xf numFmtId="202" fontId="22" fillId="26" borderId="3" xfId="6" applyNumberFormat="1" applyFont="1" applyFill="1" applyBorder="1" applyAlignment="1">
      <alignment horizontal="left" vertical="center" wrapText="1"/>
    </xf>
    <xf numFmtId="49" fontId="23" fillId="26" borderId="7" xfId="7" applyNumberFormat="1" applyFont="1" applyFill="1" applyBorder="1" applyAlignment="1">
      <alignment horizontal="left" vertical="center" wrapText="1"/>
    </xf>
    <xf numFmtId="49" fontId="23" fillId="26" borderId="8" xfId="7" applyNumberFormat="1" applyFont="1" applyFill="1" applyBorder="1" applyAlignment="1">
      <alignment horizontal="left" vertical="center" wrapText="1"/>
    </xf>
    <xf numFmtId="49" fontId="23" fillId="26" borderId="9" xfId="7" applyNumberFormat="1" applyFont="1" applyFill="1" applyBorder="1" applyAlignment="1">
      <alignment horizontal="left" vertical="center" wrapText="1"/>
    </xf>
    <xf numFmtId="49" fontId="23" fillId="26" borderId="14" xfId="7" applyNumberFormat="1" applyFont="1" applyFill="1" applyBorder="1" applyAlignment="1">
      <alignment horizontal="left" vertical="center" wrapText="1"/>
    </xf>
    <xf numFmtId="49" fontId="23" fillId="26" borderId="0" xfId="7" applyNumberFormat="1" applyFont="1" applyFill="1" applyBorder="1" applyAlignment="1">
      <alignment horizontal="left" vertical="center" wrapText="1"/>
    </xf>
    <xf numFmtId="49" fontId="23" fillId="26" borderId="15" xfId="7" applyNumberFormat="1" applyFont="1" applyFill="1" applyBorder="1" applyAlignment="1">
      <alignment horizontal="left" vertical="center" wrapText="1"/>
    </xf>
    <xf numFmtId="49" fontId="23" fillId="26" borderId="11" xfId="7" applyNumberFormat="1" applyFont="1" applyFill="1" applyBorder="1" applyAlignment="1">
      <alignment horizontal="left" vertical="center" wrapText="1"/>
    </xf>
    <xf numFmtId="49" fontId="23" fillId="26" borderId="12" xfId="7" applyNumberFormat="1" applyFont="1" applyFill="1" applyBorder="1" applyAlignment="1">
      <alignment horizontal="left" vertical="center" wrapText="1"/>
    </xf>
    <xf numFmtId="49" fontId="23" fillId="26" borderId="13" xfId="7" applyNumberFormat="1" applyFont="1" applyFill="1" applyBorder="1" applyAlignment="1">
      <alignment horizontal="left" vertical="center" wrapText="1"/>
    </xf>
    <xf numFmtId="184" fontId="22" fillId="26" borderId="2" xfId="6" applyNumberFormat="1" applyFont="1" applyFill="1" applyBorder="1" applyAlignment="1">
      <alignment horizontal="left" vertical="center" wrapText="1"/>
    </xf>
    <xf numFmtId="184" fontId="22" fillId="26" borderId="3" xfId="6" applyNumberFormat="1" applyFont="1" applyFill="1" applyBorder="1" applyAlignment="1">
      <alignment horizontal="left" vertical="center" wrapText="1"/>
    </xf>
    <xf numFmtId="188" fontId="22" fillId="26" borderId="2" xfId="8" applyNumberFormat="1" applyFont="1" applyFill="1" applyBorder="1" applyAlignment="1">
      <alignment horizontal="left" vertical="center" wrapText="1"/>
    </xf>
    <xf numFmtId="188" fontId="22" fillId="26" borderId="3" xfId="8" applyNumberFormat="1" applyFont="1" applyFill="1" applyBorder="1" applyAlignment="1">
      <alignment horizontal="left" vertical="center" wrapText="1"/>
    </xf>
    <xf numFmtId="190" fontId="22" fillId="26" borderId="2" xfId="8" applyNumberFormat="1" applyFont="1" applyFill="1" applyBorder="1" applyAlignment="1">
      <alignment horizontal="left" vertical="center" wrapText="1"/>
    </xf>
    <xf numFmtId="190" fontId="22" fillId="26" borderId="3" xfId="8" applyNumberFormat="1" applyFont="1" applyFill="1" applyBorder="1" applyAlignment="1">
      <alignment horizontal="left" vertical="center" wrapText="1"/>
    </xf>
    <xf numFmtId="0" fontId="5" fillId="24" borderId="7" xfId="3" applyFont="1" applyFill="1" applyBorder="1" applyAlignment="1">
      <alignment horizontal="left" vertical="center" wrapText="1"/>
    </xf>
    <xf numFmtId="0" fontId="5" fillId="24" borderId="8" xfId="3" applyFont="1" applyFill="1" applyBorder="1" applyAlignment="1">
      <alignment horizontal="left" vertical="center" wrapText="1"/>
    </xf>
    <xf numFmtId="0" fontId="5" fillId="24" borderId="9" xfId="3" applyFont="1" applyFill="1" applyBorder="1" applyAlignment="1">
      <alignment horizontal="left" vertical="center" wrapText="1"/>
    </xf>
    <xf numFmtId="0" fontId="5" fillId="24" borderId="14" xfId="3" applyFont="1" applyFill="1" applyBorder="1" applyAlignment="1">
      <alignment horizontal="left" vertical="center" wrapText="1"/>
    </xf>
    <xf numFmtId="0" fontId="5" fillId="24" borderId="0" xfId="3" applyFont="1" applyFill="1" applyBorder="1" applyAlignment="1">
      <alignment horizontal="left" vertical="center" wrapText="1"/>
    </xf>
    <xf numFmtId="0" fontId="5" fillId="24" borderId="15" xfId="3" applyFont="1" applyFill="1" applyBorder="1" applyAlignment="1">
      <alignment horizontal="left" vertical="center" wrapText="1"/>
    </xf>
    <xf numFmtId="0" fontId="5" fillId="24" borderId="11" xfId="3" applyFont="1" applyFill="1" applyBorder="1" applyAlignment="1">
      <alignment horizontal="left" vertical="center" wrapText="1"/>
    </xf>
    <xf numFmtId="0" fontId="5" fillId="24" borderId="12" xfId="3" applyFont="1" applyFill="1" applyBorder="1" applyAlignment="1">
      <alignment horizontal="left" vertical="center" wrapText="1"/>
    </xf>
    <xf numFmtId="0" fontId="5" fillId="24" borderId="13" xfId="3" applyFont="1" applyFill="1" applyBorder="1" applyAlignment="1">
      <alignment horizontal="left" vertical="center" wrapText="1"/>
    </xf>
    <xf numFmtId="204" fontId="5" fillId="24" borderId="1" xfId="3" applyNumberFormat="1" applyFont="1" applyFill="1" applyBorder="1" applyAlignment="1">
      <alignment horizontal="center" vertical="center" wrapText="1"/>
    </xf>
    <xf numFmtId="204" fontId="5" fillId="24" borderId="2" xfId="3" applyNumberFormat="1" applyFont="1" applyFill="1" applyBorder="1" applyAlignment="1">
      <alignment horizontal="center" vertical="center" wrapText="1"/>
    </xf>
    <xf numFmtId="204" fontId="5" fillId="24" borderId="3" xfId="3" applyNumberFormat="1" applyFont="1" applyFill="1" applyBorder="1" applyAlignment="1">
      <alignment horizontal="center" vertical="center" wrapText="1"/>
    </xf>
    <xf numFmtId="205" fontId="5" fillId="24" borderId="1" xfId="3" applyNumberFormat="1" applyFont="1" applyFill="1" applyBorder="1" applyAlignment="1">
      <alignment horizontal="center" vertical="center" wrapText="1"/>
    </xf>
    <xf numFmtId="205" fontId="5" fillId="24" borderId="2" xfId="3" applyNumberFormat="1" applyFont="1" applyFill="1" applyBorder="1" applyAlignment="1">
      <alignment horizontal="center" vertical="center" wrapText="1"/>
    </xf>
    <xf numFmtId="205" fontId="5" fillId="24" borderId="3" xfId="3" applyNumberFormat="1" applyFont="1" applyFill="1" applyBorder="1" applyAlignment="1">
      <alignment horizontal="center" vertical="center" wrapText="1"/>
    </xf>
    <xf numFmtId="203" fontId="22" fillId="4" borderId="2" xfId="6" applyNumberFormat="1" applyFont="1" applyFill="1" applyBorder="1" applyAlignment="1">
      <alignment horizontal="left" vertical="center" wrapText="1"/>
    </xf>
    <xf numFmtId="203" fontId="22" fillId="4" borderId="3" xfId="6" applyNumberFormat="1" applyFont="1" applyFill="1" applyBorder="1" applyAlignment="1">
      <alignment horizontal="left" vertical="center" wrapText="1"/>
    </xf>
    <xf numFmtId="187" fontId="22" fillId="4" borderId="2" xfId="6" applyNumberFormat="1" applyFont="1" applyFill="1" applyBorder="1" applyAlignment="1">
      <alignment horizontal="left" vertical="center" wrapText="1"/>
    </xf>
    <xf numFmtId="187" fontId="22" fillId="4" borderId="3" xfId="6" applyNumberFormat="1" applyFont="1" applyFill="1" applyBorder="1" applyAlignment="1">
      <alignment horizontal="left" vertical="center" wrapText="1"/>
    </xf>
    <xf numFmtId="202" fontId="22" fillId="4" borderId="2" xfId="6" applyNumberFormat="1" applyFont="1" applyFill="1" applyBorder="1" applyAlignment="1">
      <alignment horizontal="left" vertical="center" wrapText="1"/>
    </xf>
    <xf numFmtId="202" fontId="22" fillId="4" borderId="3" xfId="6" applyNumberFormat="1" applyFont="1" applyFill="1" applyBorder="1" applyAlignment="1">
      <alignment horizontal="left" vertical="center" wrapText="1"/>
    </xf>
    <xf numFmtId="49" fontId="23" fillId="4" borderId="7" xfId="6" applyNumberFormat="1" applyFont="1" applyFill="1" applyBorder="1" applyAlignment="1">
      <alignment vertical="center" wrapText="1"/>
    </xf>
    <xf numFmtId="49" fontId="23" fillId="4" borderId="8" xfId="6" applyNumberFormat="1" applyFont="1" applyFill="1" applyBorder="1" applyAlignment="1">
      <alignment vertical="center" wrapText="1"/>
    </xf>
    <xf numFmtId="49" fontId="23" fillId="4" borderId="9" xfId="6" applyNumberFormat="1" applyFont="1" applyFill="1" applyBorder="1" applyAlignment="1">
      <alignment vertical="center" wrapText="1"/>
    </xf>
    <xf numFmtId="49" fontId="23" fillId="4" borderId="14" xfId="6" applyNumberFormat="1" applyFont="1" applyFill="1" applyBorder="1" applyAlignment="1">
      <alignment vertical="center" wrapText="1"/>
    </xf>
    <xf numFmtId="49" fontId="23" fillId="4" borderId="0" xfId="6" applyNumberFormat="1" applyFont="1" applyFill="1" applyBorder="1" applyAlignment="1">
      <alignment vertical="center" wrapText="1"/>
    </xf>
    <xf numFmtId="49" fontId="23" fillId="4" borderId="15" xfId="6" applyNumberFormat="1" applyFont="1" applyFill="1" applyBorder="1" applyAlignment="1">
      <alignment vertical="center" wrapText="1"/>
    </xf>
    <xf numFmtId="49" fontId="23" fillId="4" borderId="11" xfId="6" applyNumberFormat="1" applyFont="1" applyFill="1" applyBorder="1" applyAlignment="1">
      <alignment vertical="center" wrapText="1"/>
    </xf>
    <xf numFmtId="49" fontId="23" fillId="4" borderId="12" xfId="6" applyNumberFormat="1" applyFont="1" applyFill="1" applyBorder="1" applyAlignment="1">
      <alignment vertical="center" wrapText="1"/>
    </xf>
    <xf numFmtId="49" fontId="23" fillId="4" borderId="13" xfId="6" applyNumberFormat="1" applyFont="1" applyFill="1" applyBorder="1" applyAlignment="1">
      <alignment vertical="center" wrapText="1"/>
    </xf>
    <xf numFmtId="184" fontId="22" fillId="4" borderId="2" xfId="6" applyNumberFormat="1" applyFont="1" applyFill="1" applyBorder="1" applyAlignment="1">
      <alignment horizontal="left" vertical="center" wrapText="1"/>
    </xf>
    <xf numFmtId="184" fontId="22" fillId="4" borderId="3" xfId="6" applyNumberFormat="1" applyFont="1" applyFill="1" applyBorder="1" applyAlignment="1">
      <alignment horizontal="left" vertical="center" wrapText="1"/>
    </xf>
    <xf numFmtId="188" fontId="22" fillId="4" borderId="2" xfId="8" applyNumberFormat="1" applyFont="1" applyFill="1" applyBorder="1" applyAlignment="1">
      <alignment horizontal="left" vertical="center" wrapText="1"/>
    </xf>
    <xf numFmtId="188" fontId="22" fillId="4" borderId="3" xfId="8" applyNumberFormat="1" applyFont="1" applyFill="1" applyBorder="1" applyAlignment="1">
      <alignment horizontal="left" vertical="center" wrapText="1"/>
    </xf>
    <xf numFmtId="190" fontId="22" fillId="4" borderId="2" xfId="8" applyNumberFormat="1" applyFont="1" applyFill="1" applyBorder="1" applyAlignment="1">
      <alignment horizontal="left" vertical="center" wrapText="1"/>
    </xf>
    <xf numFmtId="190" fontId="22" fillId="4" borderId="3" xfId="8" applyNumberFormat="1" applyFont="1" applyFill="1" applyBorder="1" applyAlignment="1">
      <alignment horizontal="left" vertical="center" wrapText="1"/>
    </xf>
    <xf numFmtId="190" fontId="22" fillId="3" borderId="2" xfId="8" applyNumberFormat="1" applyFont="1" applyFill="1" applyBorder="1" applyAlignment="1">
      <alignment horizontal="left" vertical="center" wrapText="1"/>
    </xf>
    <xf numFmtId="190" fontId="22" fillId="3" borderId="3" xfId="8" applyNumberFormat="1" applyFont="1" applyFill="1" applyBorder="1" applyAlignment="1">
      <alignment horizontal="left" vertical="center" wrapText="1"/>
    </xf>
    <xf numFmtId="0" fontId="23" fillId="3" borderId="7" xfId="8" applyFont="1" applyFill="1" applyBorder="1" applyAlignment="1">
      <alignment horizontal="left" vertical="center" wrapText="1"/>
    </xf>
    <xf numFmtId="0" fontId="23" fillId="3" borderId="8" xfId="8" applyFont="1" applyFill="1" applyBorder="1" applyAlignment="1">
      <alignment horizontal="left" vertical="center" wrapText="1"/>
    </xf>
    <xf numFmtId="0" fontId="23" fillId="3" borderId="9" xfId="8" applyFont="1" applyFill="1" applyBorder="1" applyAlignment="1">
      <alignment horizontal="left" vertical="center" wrapText="1"/>
    </xf>
    <xf numFmtId="0" fontId="23" fillId="3" borderId="14" xfId="8" applyFont="1" applyFill="1" applyBorder="1" applyAlignment="1">
      <alignment horizontal="left" vertical="center" wrapText="1"/>
    </xf>
    <xf numFmtId="0" fontId="23" fillId="3" borderId="0" xfId="8" applyFont="1" applyFill="1" applyBorder="1" applyAlignment="1">
      <alignment horizontal="left" vertical="center" wrapText="1"/>
    </xf>
    <xf numFmtId="0" fontId="23" fillId="3" borderId="15" xfId="8" applyFont="1" applyFill="1" applyBorder="1" applyAlignment="1">
      <alignment horizontal="left" vertical="center" wrapText="1"/>
    </xf>
    <xf numFmtId="0" fontId="23" fillId="3" borderId="11" xfId="8" applyFont="1" applyFill="1" applyBorder="1" applyAlignment="1">
      <alignment horizontal="left" vertical="center" wrapText="1"/>
    </xf>
    <xf numFmtId="0" fontId="23" fillId="3" borderId="12" xfId="8" applyFont="1" applyFill="1" applyBorder="1" applyAlignment="1">
      <alignment horizontal="left" vertical="center" wrapText="1"/>
    </xf>
    <xf numFmtId="0" fontId="23" fillId="3" borderId="13" xfId="8" applyFont="1" applyFill="1" applyBorder="1" applyAlignment="1">
      <alignment horizontal="left" vertical="center" wrapText="1"/>
    </xf>
    <xf numFmtId="202" fontId="22" fillId="3" borderId="2" xfId="8" applyNumberFormat="1" applyFont="1" applyFill="1" applyBorder="1" applyAlignment="1">
      <alignment horizontal="left" vertical="center" wrapText="1"/>
    </xf>
    <xf numFmtId="202" fontId="22" fillId="3" borderId="3" xfId="8" applyNumberFormat="1" applyFont="1" applyFill="1" applyBorder="1" applyAlignment="1">
      <alignment horizontal="left" vertical="center" wrapText="1"/>
    </xf>
    <xf numFmtId="203" fontId="22" fillId="3" borderId="2" xfId="8" applyNumberFormat="1" applyFont="1" applyFill="1" applyBorder="1" applyAlignment="1">
      <alignment horizontal="left" vertical="center" wrapText="1"/>
    </xf>
    <xf numFmtId="203" fontId="22" fillId="3" borderId="3" xfId="8" applyNumberFormat="1" applyFont="1" applyFill="1" applyBorder="1" applyAlignment="1">
      <alignment horizontal="left" vertical="center" wrapText="1"/>
    </xf>
    <xf numFmtId="184" fontId="22" fillId="3" borderId="2" xfId="8" applyNumberFormat="1" applyFont="1" applyFill="1" applyBorder="1" applyAlignment="1">
      <alignment horizontal="left" vertical="center" wrapText="1"/>
    </xf>
    <xf numFmtId="184" fontId="22" fillId="3" borderId="3" xfId="8" applyNumberFormat="1" applyFont="1" applyFill="1" applyBorder="1" applyAlignment="1">
      <alignment horizontal="left" vertical="center" wrapText="1"/>
    </xf>
    <xf numFmtId="0" fontId="22" fillId="3" borderId="2" xfId="8" applyFont="1" applyFill="1" applyBorder="1" applyAlignment="1">
      <alignment horizontal="left" vertical="center" wrapText="1"/>
    </xf>
    <xf numFmtId="0" fontId="22" fillId="3" borderId="3" xfId="8" applyFont="1" applyFill="1" applyBorder="1" applyAlignment="1">
      <alignment horizontal="left" vertical="center" wrapText="1"/>
    </xf>
    <xf numFmtId="185" fontId="22" fillId="3" borderId="2" xfId="8" applyNumberFormat="1" applyFont="1" applyFill="1" applyBorder="1" applyAlignment="1">
      <alignment horizontal="left" vertical="center" wrapText="1"/>
    </xf>
    <xf numFmtId="185" fontId="22" fillId="3" borderId="3" xfId="8" applyNumberFormat="1" applyFont="1" applyFill="1" applyBorder="1" applyAlignment="1">
      <alignment horizontal="left" vertical="center" wrapText="1"/>
    </xf>
    <xf numFmtId="186" fontId="22" fillId="3" borderId="2" xfId="8" applyNumberFormat="1" applyFont="1" applyFill="1" applyBorder="1" applyAlignment="1">
      <alignment horizontal="left" vertical="center" wrapText="1"/>
    </xf>
    <xf numFmtId="186" fontId="22" fillId="3" borderId="3" xfId="8" applyNumberFormat="1" applyFont="1" applyFill="1" applyBorder="1" applyAlignment="1">
      <alignment horizontal="left" vertical="center" wrapText="1"/>
    </xf>
    <xf numFmtId="187" fontId="22" fillId="3" borderId="2" xfId="8" applyNumberFormat="1" applyFont="1" applyFill="1" applyBorder="1" applyAlignment="1">
      <alignment horizontal="left" vertical="center" wrapText="1"/>
    </xf>
    <xf numFmtId="187" fontId="22" fillId="3" borderId="3" xfId="8" applyNumberFormat="1" applyFont="1" applyFill="1" applyBorder="1" applyAlignment="1">
      <alignment horizontal="left" vertical="center" wrapText="1"/>
    </xf>
    <xf numFmtId="0" fontId="20" fillId="15" borderId="1" xfId="1" applyFont="1" applyFill="1" applyBorder="1" applyAlignment="1">
      <alignment horizontal="center" vertical="center" wrapText="1"/>
    </xf>
    <xf numFmtId="0" fontId="20" fillId="15" borderId="2" xfId="1" applyFont="1" applyFill="1" applyBorder="1" applyAlignment="1">
      <alignment horizontal="center" vertical="center" wrapText="1"/>
    </xf>
    <xf numFmtId="0" fontId="20" fillId="15" borderId="3" xfId="1" applyFont="1" applyFill="1" applyBorder="1" applyAlignment="1">
      <alignment horizontal="center" vertical="center" wrapText="1"/>
    </xf>
    <xf numFmtId="0" fontId="21" fillId="15" borderId="1" xfId="1" applyFont="1" applyFill="1" applyBorder="1" applyAlignment="1">
      <alignment horizontal="center" vertical="center" wrapText="1"/>
    </xf>
    <xf numFmtId="0" fontId="21" fillId="15" borderId="2" xfId="1" applyFont="1" applyFill="1" applyBorder="1" applyAlignment="1">
      <alignment horizontal="center" vertical="center" wrapText="1"/>
    </xf>
    <xf numFmtId="0" fontId="21" fillId="15" borderId="3" xfId="1" applyFont="1" applyFill="1" applyBorder="1" applyAlignment="1">
      <alignment horizontal="center" vertical="center" wrapText="1"/>
    </xf>
    <xf numFmtId="0" fontId="5" fillId="16" borderId="7" xfId="4" applyFont="1" applyFill="1" applyBorder="1" applyAlignment="1">
      <alignment horizontal="left" vertical="center" wrapText="1"/>
    </xf>
    <xf numFmtId="0" fontId="5" fillId="16" borderId="8" xfId="4" applyFont="1" applyFill="1" applyBorder="1" applyAlignment="1">
      <alignment horizontal="left" vertical="center" wrapText="1"/>
    </xf>
    <xf numFmtId="0" fontId="5" fillId="16" borderId="9" xfId="4" applyFont="1" applyFill="1" applyBorder="1" applyAlignment="1">
      <alignment horizontal="left" vertical="center" wrapText="1"/>
    </xf>
    <xf numFmtId="0" fontId="5" fillId="16" borderId="14" xfId="4" applyFont="1" applyFill="1" applyBorder="1" applyAlignment="1">
      <alignment horizontal="left" vertical="center" wrapText="1"/>
    </xf>
    <xf numFmtId="0" fontId="5" fillId="16" borderId="0" xfId="4" applyFont="1" applyFill="1" applyBorder="1" applyAlignment="1">
      <alignment horizontal="left" vertical="center" wrapText="1"/>
    </xf>
    <xf numFmtId="0" fontId="5" fillId="16" borderId="15" xfId="4" applyFont="1" applyFill="1" applyBorder="1" applyAlignment="1">
      <alignment horizontal="left" vertical="center" wrapText="1"/>
    </xf>
    <xf numFmtId="0" fontId="5" fillId="16" borderId="11" xfId="4" applyFont="1" applyFill="1" applyBorder="1" applyAlignment="1">
      <alignment horizontal="left" vertical="center" wrapText="1"/>
    </xf>
    <xf numFmtId="0" fontId="5" fillId="16" borderId="12" xfId="4" applyFont="1" applyFill="1" applyBorder="1" applyAlignment="1">
      <alignment horizontal="left" vertical="center" wrapText="1"/>
    </xf>
    <xf numFmtId="0" fontId="5" fillId="16" borderId="13" xfId="4" applyFont="1" applyFill="1" applyBorder="1" applyAlignment="1">
      <alignment horizontal="left" vertical="center" wrapText="1"/>
    </xf>
    <xf numFmtId="200" fontId="5" fillId="16" borderId="1" xfId="4" applyNumberFormat="1" applyFont="1" applyFill="1" applyBorder="1" applyAlignment="1">
      <alignment horizontal="center" vertical="center" wrapText="1"/>
    </xf>
    <xf numFmtId="200" fontId="5" fillId="16" borderId="2" xfId="4" applyNumberFormat="1" applyFont="1" applyFill="1" applyBorder="1" applyAlignment="1">
      <alignment horizontal="center" vertical="center" wrapText="1"/>
    </xf>
    <xf numFmtId="200" fontId="5" fillId="16" borderId="3" xfId="4" applyNumberFormat="1" applyFont="1" applyFill="1" applyBorder="1" applyAlignment="1">
      <alignment horizontal="center" vertical="center" wrapText="1"/>
    </xf>
    <xf numFmtId="201" fontId="5" fillId="16" borderId="1" xfId="4" applyNumberFormat="1" applyFont="1" applyFill="1" applyBorder="1" applyAlignment="1">
      <alignment horizontal="center" vertical="center" wrapText="1"/>
    </xf>
    <xf numFmtId="201" fontId="5" fillId="16" borderId="2" xfId="4" applyNumberFormat="1" applyFont="1" applyFill="1" applyBorder="1" applyAlignment="1">
      <alignment horizontal="center" vertical="center" wrapText="1"/>
    </xf>
    <xf numFmtId="201" fontId="5" fillId="16" borderId="3" xfId="4" applyNumberFormat="1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188" fontId="22" fillId="3" borderId="2" xfId="8" applyNumberFormat="1" applyFont="1" applyFill="1" applyBorder="1" applyAlignment="1">
      <alignment horizontal="left" vertical="center" wrapText="1"/>
    </xf>
    <xf numFmtId="188" fontId="22" fillId="3" borderId="3" xfId="8" applyNumberFormat="1" applyFont="1" applyFill="1" applyBorder="1" applyAlignment="1">
      <alignment horizontal="left" vertical="center" wrapText="1"/>
    </xf>
    <xf numFmtId="189" fontId="22" fillId="3" borderId="2" xfId="8" applyNumberFormat="1" applyFont="1" applyFill="1" applyBorder="1" applyAlignment="1">
      <alignment horizontal="left" vertical="center" wrapText="1"/>
    </xf>
    <xf numFmtId="189" fontId="22" fillId="3" borderId="3" xfId="8" applyNumberFormat="1" applyFont="1" applyFill="1" applyBorder="1" applyAlignment="1">
      <alignment horizontal="left" vertical="center" wrapText="1"/>
    </xf>
    <xf numFmtId="49" fontId="38" fillId="18" borderId="7" xfId="8" applyNumberFormat="1" applyFont="1" applyFill="1" applyBorder="1" applyAlignment="1">
      <alignment horizontal="center" vertical="center" wrapText="1"/>
    </xf>
    <xf numFmtId="49" fontId="23" fillId="18" borderId="8" xfId="8" applyNumberFormat="1" applyFont="1" applyFill="1" applyBorder="1" applyAlignment="1">
      <alignment horizontal="center" vertical="center" wrapText="1"/>
    </xf>
    <xf numFmtId="49" fontId="23" fillId="18" borderId="9" xfId="8" applyNumberFormat="1" applyFont="1" applyFill="1" applyBorder="1" applyAlignment="1">
      <alignment horizontal="center" vertical="center" wrapText="1"/>
    </xf>
    <xf numFmtId="49" fontId="23" fillId="18" borderId="11" xfId="8" applyNumberFormat="1" applyFont="1" applyFill="1" applyBorder="1" applyAlignment="1">
      <alignment horizontal="center" vertical="center" wrapText="1"/>
    </xf>
    <xf numFmtId="49" fontId="23" fillId="18" borderId="12" xfId="8" applyNumberFormat="1" applyFont="1" applyFill="1" applyBorder="1" applyAlignment="1">
      <alignment horizontal="center" vertical="center" wrapText="1"/>
    </xf>
    <xf numFmtId="49" fontId="23" fillId="18" borderId="13" xfId="8" applyNumberFormat="1" applyFont="1" applyFill="1" applyBorder="1" applyAlignment="1">
      <alignment horizontal="center" vertical="center" wrapText="1"/>
    </xf>
    <xf numFmtId="49" fontId="22" fillId="18" borderId="1" xfId="8" applyNumberFormat="1" applyFont="1" applyFill="1" applyBorder="1" applyAlignment="1">
      <alignment horizontal="left" vertical="center" wrapText="1"/>
    </xf>
    <xf numFmtId="49" fontId="22" fillId="18" borderId="2" xfId="8" applyNumberFormat="1" applyFont="1" applyFill="1" applyBorder="1" applyAlignment="1">
      <alignment horizontal="left" vertical="center" wrapText="1"/>
    </xf>
    <xf numFmtId="49" fontId="22" fillId="18" borderId="3" xfId="8" applyNumberFormat="1" applyFont="1" applyFill="1" applyBorder="1" applyAlignment="1">
      <alignment horizontal="left" vertical="center" wrapText="1"/>
    </xf>
    <xf numFmtId="189" fontId="22" fillId="18" borderId="0" xfId="8" applyNumberFormat="1" applyFont="1" applyFill="1" applyBorder="1" applyAlignment="1">
      <alignment vertical="center" wrapText="1"/>
    </xf>
    <xf numFmtId="189" fontId="22" fillId="18" borderId="15" xfId="8" applyNumberFormat="1" applyFont="1" applyFill="1" applyBorder="1" applyAlignment="1">
      <alignment vertical="center" wrapText="1"/>
    </xf>
    <xf numFmtId="189" fontId="22" fillId="18" borderId="12" xfId="8" applyNumberFormat="1" applyFont="1" applyFill="1" applyBorder="1" applyAlignment="1">
      <alignment vertical="center" wrapText="1"/>
    </xf>
    <xf numFmtId="189" fontId="22" fillId="18" borderId="13" xfId="8" applyNumberFormat="1" applyFont="1" applyFill="1" applyBorder="1" applyAlignment="1">
      <alignment vertical="center" wrapText="1"/>
    </xf>
    <xf numFmtId="0" fontId="19" fillId="15" borderId="1" xfId="1" applyFont="1" applyFill="1" applyBorder="1" applyAlignment="1">
      <alignment horizontal="center" vertical="center" wrapText="1"/>
    </xf>
    <xf numFmtId="0" fontId="19" fillId="15" borderId="2" xfId="1" applyFont="1" applyFill="1" applyBorder="1" applyAlignment="1">
      <alignment horizontal="center" vertical="center" wrapText="1"/>
    </xf>
    <xf numFmtId="0" fontId="19" fillId="15" borderId="3" xfId="1" applyFont="1" applyFill="1" applyBorder="1" applyAlignment="1">
      <alignment horizontal="center" vertical="center" wrapText="1"/>
    </xf>
    <xf numFmtId="0" fontId="23" fillId="20" borderId="6" xfId="7" applyFont="1" applyFill="1" applyBorder="1" applyAlignment="1">
      <alignment horizontal="left" vertical="center" wrapText="1"/>
    </xf>
    <xf numFmtId="0" fontId="21" fillId="17" borderId="1" xfId="5" applyFont="1" applyFill="1" applyBorder="1" applyAlignment="1">
      <alignment horizontal="left" vertical="center" wrapText="1"/>
    </xf>
    <xf numFmtId="0" fontId="21" fillId="17" borderId="2" xfId="5" applyFont="1" applyFill="1" applyBorder="1" applyAlignment="1">
      <alignment horizontal="left" vertical="center" wrapText="1"/>
    </xf>
    <xf numFmtId="0" fontId="21" fillId="17" borderId="3" xfId="5" applyFont="1" applyFill="1" applyBorder="1" applyAlignment="1">
      <alignment horizontal="left" vertical="center" wrapText="1"/>
    </xf>
    <xf numFmtId="197" fontId="21" fillId="17" borderId="1" xfId="5" applyNumberFormat="1" applyFont="1" applyFill="1" applyBorder="1" applyAlignment="1">
      <alignment horizontal="center" vertical="center" wrapText="1"/>
    </xf>
    <xf numFmtId="197" fontId="21" fillId="17" borderId="2" xfId="5" applyNumberFormat="1" applyFont="1" applyFill="1" applyBorder="1" applyAlignment="1">
      <alignment horizontal="center" vertical="center" wrapText="1"/>
    </xf>
    <xf numFmtId="197" fontId="21" fillId="17" borderId="3" xfId="5" applyNumberFormat="1" applyFont="1" applyFill="1" applyBorder="1" applyAlignment="1">
      <alignment horizontal="center" vertical="center" wrapText="1"/>
    </xf>
    <xf numFmtId="198" fontId="21" fillId="17" borderId="1" xfId="5" applyNumberFormat="1" applyFont="1" applyFill="1" applyBorder="1" applyAlignment="1">
      <alignment horizontal="center" vertical="center" wrapText="1"/>
    </xf>
    <xf numFmtId="198" fontId="21" fillId="17" borderId="2" xfId="5" applyNumberFormat="1" applyFont="1" applyFill="1" applyBorder="1" applyAlignment="1">
      <alignment horizontal="center" vertical="center" wrapText="1"/>
    </xf>
    <xf numFmtId="198" fontId="21" fillId="17" borderId="3" xfId="5" applyNumberFormat="1" applyFont="1" applyFill="1" applyBorder="1" applyAlignment="1">
      <alignment horizontal="center" vertical="center" wrapText="1"/>
    </xf>
    <xf numFmtId="0" fontId="21" fillId="18" borderId="7" xfId="8" applyFont="1" applyFill="1" applyBorder="1" applyAlignment="1">
      <alignment horizontal="left" wrapText="1"/>
    </xf>
    <xf numFmtId="0" fontId="21" fillId="18" borderId="8" xfId="8" applyFont="1" applyFill="1" applyBorder="1" applyAlignment="1">
      <alignment horizontal="left" wrapText="1"/>
    </xf>
    <xf numFmtId="0" fontId="21" fillId="18" borderId="9" xfId="8" applyFont="1" applyFill="1" applyBorder="1" applyAlignment="1">
      <alignment horizontal="left" wrapText="1"/>
    </xf>
    <xf numFmtId="0" fontId="21" fillId="18" borderId="14" xfId="8" applyFont="1" applyFill="1" applyBorder="1" applyAlignment="1">
      <alignment horizontal="left" wrapText="1"/>
    </xf>
    <xf numFmtId="0" fontId="21" fillId="18" borderId="0" xfId="8" applyFont="1" applyFill="1" applyBorder="1" applyAlignment="1">
      <alignment horizontal="left" wrapText="1"/>
    </xf>
    <xf numFmtId="0" fontId="21" fillId="18" borderId="15" xfId="8" applyFont="1" applyFill="1" applyBorder="1" applyAlignment="1">
      <alignment horizontal="left" wrapText="1"/>
    </xf>
    <xf numFmtId="196" fontId="21" fillId="18" borderId="1" xfId="8" applyNumberFormat="1" applyFont="1" applyFill="1" applyBorder="1" applyAlignment="1">
      <alignment horizontal="center" vertical="center" wrapText="1"/>
    </xf>
    <xf numFmtId="196" fontId="21" fillId="18" borderId="2" xfId="8" applyNumberFormat="1" applyFont="1" applyFill="1" applyBorder="1" applyAlignment="1">
      <alignment horizontal="center" vertical="center" wrapText="1"/>
    </xf>
    <xf numFmtId="196" fontId="21" fillId="18" borderId="3" xfId="8" applyNumberFormat="1" applyFont="1" applyFill="1" applyBorder="1" applyAlignment="1">
      <alignment horizontal="center" vertical="center" wrapText="1"/>
    </xf>
    <xf numFmtId="183" fontId="5" fillId="22" borderId="1" xfId="7" applyNumberFormat="1" applyFont="1" applyFill="1" applyBorder="1" applyAlignment="1">
      <alignment horizontal="center" vertical="center" wrapText="1"/>
    </xf>
    <xf numFmtId="183" fontId="5" fillId="22" borderId="2" xfId="7" applyNumberFormat="1" applyFont="1" applyFill="1" applyBorder="1" applyAlignment="1">
      <alignment horizontal="center" vertical="center" wrapText="1"/>
    </xf>
    <xf numFmtId="183" fontId="5" fillId="22" borderId="3" xfId="7" applyNumberFormat="1" applyFont="1" applyFill="1" applyBorder="1" applyAlignment="1">
      <alignment horizontal="center" vertical="center" wrapText="1"/>
    </xf>
    <xf numFmtId="187" fontId="22" fillId="18" borderId="2" xfId="8" applyNumberFormat="1" applyFont="1" applyFill="1" applyBorder="1" applyAlignment="1">
      <alignment horizontal="left" vertical="center" wrapText="1"/>
    </xf>
    <xf numFmtId="187" fontId="22" fillId="18" borderId="3" xfId="8" applyNumberFormat="1" applyFont="1" applyFill="1" applyBorder="1" applyAlignment="1">
      <alignment horizontal="left" vertical="center" wrapText="1"/>
    </xf>
    <xf numFmtId="0" fontId="23" fillId="22" borderId="14" xfId="0" applyFont="1" applyFill="1" applyBorder="1" applyAlignment="1">
      <alignment vertical="top" wrapText="1"/>
    </xf>
    <xf numFmtId="0" fontId="7" fillId="22" borderId="0" xfId="0" applyFont="1" applyFill="1" applyAlignment="1">
      <alignment vertical="top" wrapText="1"/>
    </xf>
    <xf numFmtId="0" fontId="7" fillId="22" borderId="15" xfId="0" applyFont="1" applyFill="1" applyBorder="1" applyAlignment="1">
      <alignment vertical="top" wrapText="1"/>
    </xf>
    <xf numFmtId="0" fontId="7" fillId="22" borderId="14" xfId="0" applyFont="1" applyFill="1" applyBorder="1" applyAlignment="1">
      <alignment vertical="top" wrapText="1"/>
    </xf>
    <xf numFmtId="0" fontId="7" fillId="22" borderId="11" xfId="0" applyFont="1" applyFill="1" applyBorder="1" applyAlignment="1">
      <alignment vertical="top" wrapText="1"/>
    </xf>
    <xf numFmtId="0" fontId="7" fillId="22" borderId="12" xfId="0" applyFont="1" applyFill="1" applyBorder="1" applyAlignment="1">
      <alignment vertical="top" wrapText="1"/>
    </xf>
    <xf numFmtId="0" fontId="7" fillId="22" borderId="13" xfId="0" applyFont="1" applyFill="1" applyBorder="1" applyAlignment="1">
      <alignment vertical="top" wrapText="1"/>
    </xf>
    <xf numFmtId="189" fontId="22" fillId="18" borderId="8" xfId="8" applyNumberFormat="1" applyFont="1" applyFill="1" applyBorder="1" applyAlignment="1">
      <alignment horizontal="left" vertical="center" wrapText="1"/>
    </xf>
    <xf numFmtId="189" fontId="22" fillId="18" borderId="9" xfId="8" applyNumberFormat="1" applyFont="1" applyFill="1" applyBorder="1" applyAlignment="1">
      <alignment horizontal="left" vertical="center" wrapText="1"/>
    </xf>
    <xf numFmtId="0" fontId="7" fillId="21" borderId="14" xfId="6" applyFont="1" applyFill="1" applyBorder="1" applyAlignment="1">
      <alignment horizontal="left" vertical="top" wrapText="1"/>
    </xf>
    <xf numFmtId="0" fontId="7" fillId="21" borderId="0" xfId="6" applyFont="1" applyFill="1" applyBorder="1" applyAlignment="1">
      <alignment horizontal="left" vertical="top" wrapText="1"/>
    </xf>
    <xf numFmtId="0" fontId="7" fillId="21" borderId="15" xfId="6" applyFont="1" applyFill="1" applyBorder="1" applyAlignment="1">
      <alignment horizontal="left" vertical="top" wrapText="1"/>
    </xf>
    <xf numFmtId="0" fontId="7" fillId="21" borderId="11" xfId="6" applyFont="1" applyFill="1" applyBorder="1" applyAlignment="1">
      <alignment horizontal="left" vertical="top" wrapText="1"/>
    </xf>
    <xf numFmtId="0" fontId="7" fillId="21" borderId="12" xfId="6" applyFont="1" applyFill="1" applyBorder="1" applyAlignment="1">
      <alignment horizontal="left" vertical="top" wrapText="1"/>
    </xf>
    <xf numFmtId="0" fontId="7" fillId="21" borderId="13" xfId="6" applyFont="1" applyFill="1" applyBorder="1" applyAlignment="1">
      <alignment horizontal="left" vertical="top" wrapText="1"/>
    </xf>
    <xf numFmtId="184" fontId="22" fillId="21" borderId="2" xfId="6" applyNumberFormat="1" applyFont="1" applyFill="1" applyBorder="1" applyAlignment="1">
      <alignment horizontal="left" vertical="center" wrapText="1"/>
    </xf>
    <xf numFmtId="184" fontId="22" fillId="21" borderId="3" xfId="6" applyNumberFormat="1" applyFont="1" applyFill="1" applyBorder="1" applyAlignment="1">
      <alignment horizontal="left" vertical="center" wrapText="1"/>
    </xf>
    <xf numFmtId="49" fontId="23" fillId="21" borderId="7" xfId="6" applyNumberFormat="1" applyFont="1" applyFill="1" applyBorder="1" applyAlignment="1">
      <alignment horizontal="left" vertical="center" wrapText="1"/>
    </xf>
    <xf numFmtId="49" fontId="23" fillId="21" borderId="8" xfId="6" applyNumberFormat="1" applyFont="1" applyFill="1" applyBorder="1" applyAlignment="1">
      <alignment horizontal="left" vertical="center" wrapText="1"/>
    </xf>
    <xf numFmtId="49" fontId="23" fillId="21" borderId="9" xfId="6" applyNumberFormat="1" applyFont="1" applyFill="1" applyBorder="1" applyAlignment="1">
      <alignment horizontal="left" vertical="center" wrapText="1"/>
    </xf>
    <xf numFmtId="49" fontId="23" fillId="21" borderId="14" xfId="6" applyNumberFormat="1" applyFont="1" applyFill="1" applyBorder="1" applyAlignment="1">
      <alignment horizontal="left" vertical="center" wrapText="1"/>
    </xf>
    <xf numFmtId="49" fontId="23" fillId="21" borderId="0" xfId="6" applyNumberFormat="1" applyFont="1" applyFill="1" applyBorder="1" applyAlignment="1">
      <alignment horizontal="left" vertical="center" wrapText="1"/>
    </xf>
    <xf numFmtId="49" fontId="23" fillId="21" borderId="15" xfId="6" applyNumberFormat="1" applyFont="1" applyFill="1" applyBorder="1" applyAlignment="1">
      <alignment horizontal="left" vertical="center" wrapText="1"/>
    </xf>
    <xf numFmtId="49" fontId="23" fillId="21" borderId="11" xfId="6" applyNumberFormat="1" applyFont="1" applyFill="1" applyBorder="1" applyAlignment="1">
      <alignment horizontal="left" vertical="center" wrapText="1"/>
    </xf>
    <xf numFmtId="49" fontId="23" fillId="21" borderId="12" xfId="6" applyNumberFormat="1" applyFont="1" applyFill="1" applyBorder="1" applyAlignment="1">
      <alignment horizontal="left" vertical="center" wrapText="1"/>
    </xf>
    <xf numFmtId="49" fontId="23" fillId="21" borderId="13" xfId="6" applyNumberFormat="1" applyFont="1" applyFill="1" applyBorder="1" applyAlignment="1">
      <alignment horizontal="left" vertical="center" wrapText="1"/>
    </xf>
    <xf numFmtId="0" fontId="6" fillId="20" borderId="6" xfId="7" applyFont="1" applyFill="1" applyBorder="1" applyAlignment="1">
      <alignment horizontal="left" vertical="center" wrapText="1"/>
    </xf>
    <xf numFmtId="0" fontId="24" fillId="20" borderId="6" xfId="7" applyFont="1" applyFill="1" applyBorder="1" applyAlignment="1">
      <alignment horizontal="left" vertical="center" wrapText="1"/>
    </xf>
    <xf numFmtId="194" fontId="22" fillId="21" borderId="2" xfId="7" applyNumberFormat="1" applyFont="1" applyFill="1" applyBorder="1" applyAlignment="1">
      <alignment horizontal="left" vertical="center" wrapText="1"/>
    </xf>
    <xf numFmtId="194" fontId="22" fillId="21" borderId="3" xfId="7" applyNumberFormat="1" applyFont="1" applyFill="1" applyBorder="1" applyAlignment="1">
      <alignment horizontal="left" vertical="center" wrapText="1"/>
    </xf>
    <xf numFmtId="188" fontId="22" fillId="21" borderId="2" xfId="8" applyNumberFormat="1" applyFont="1" applyFill="1" applyBorder="1" applyAlignment="1">
      <alignment horizontal="left" vertical="center" wrapText="1"/>
    </xf>
    <xf numFmtId="188" fontId="22" fillId="21" borderId="3" xfId="8" applyNumberFormat="1" applyFont="1" applyFill="1" applyBorder="1" applyAlignment="1">
      <alignment horizontal="left" vertical="center" wrapText="1"/>
    </xf>
    <xf numFmtId="190" fontId="22" fillId="21" borderId="2" xfId="8" applyNumberFormat="1" applyFont="1" applyFill="1" applyBorder="1" applyAlignment="1">
      <alignment horizontal="left" vertical="center" wrapText="1"/>
    </xf>
    <xf numFmtId="190" fontId="22" fillId="21" borderId="3" xfId="8" applyNumberFormat="1" applyFont="1" applyFill="1" applyBorder="1" applyAlignment="1">
      <alignment horizontal="left" vertical="center" wrapText="1"/>
    </xf>
    <xf numFmtId="0" fontId="5" fillId="21" borderId="7" xfId="6" applyFont="1" applyFill="1" applyBorder="1" applyAlignment="1">
      <alignment horizontal="left" wrapText="1"/>
    </xf>
    <xf numFmtId="0" fontId="5" fillId="21" borderId="8" xfId="6" applyFont="1" applyFill="1" applyBorder="1" applyAlignment="1">
      <alignment horizontal="left" wrapText="1"/>
    </xf>
    <xf numFmtId="0" fontId="5" fillId="21" borderId="9" xfId="6" applyFont="1" applyFill="1" applyBorder="1" applyAlignment="1">
      <alignment horizontal="left" wrapText="1"/>
    </xf>
    <xf numFmtId="0" fontId="5" fillId="21" borderId="14" xfId="6" applyFont="1" applyFill="1" applyBorder="1" applyAlignment="1">
      <alignment horizontal="left" wrapText="1"/>
    </xf>
    <xf numFmtId="0" fontId="5" fillId="21" borderId="0" xfId="6" applyFont="1" applyFill="1" applyBorder="1" applyAlignment="1">
      <alignment horizontal="left" wrapText="1"/>
    </xf>
    <xf numFmtId="0" fontId="5" fillId="21" borderId="15" xfId="6" applyFont="1" applyFill="1" applyBorder="1" applyAlignment="1">
      <alignment horizontal="left" wrapText="1"/>
    </xf>
    <xf numFmtId="193" fontId="5" fillId="21" borderId="1" xfId="6" applyNumberFormat="1" applyFont="1" applyFill="1" applyBorder="1" applyAlignment="1">
      <alignment horizontal="center" vertical="center" wrapText="1"/>
    </xf>
    <xf numFmtId="193" fontId="5" fillId="21" borderId="2" xfId="6" applyNumberFormat="1" applyFont="1" applyFill="1" applyBorder="1" applyAlignment="1">
      <alignment horizontal="center" vertical="center" wrapText="1"/>
    </xf>
    <xf numFmtId="193" fontId="5" fillId="21" borderId="3" xfId="6" applyNumberFormat="1" applyFont="1" applyFill="1" applyBorder="1" applyAlignment="1">
      <alignment horizontal="center" vertical="center" wrapText="1"/>
    </xf>
    <xf numFmtId="205" fontId="5" fillId="21" borderId="1" xfId="6" applyNumberFormat="1" applyFont="1" applyFill="1" applyBorder="1" applyAlignment="1">
      <alignment horizontal="center" vertical="center" wrapText="1"/>
    </xf>
    <xf numFmtId="205" fontId="5" fillId="21" borderId="2" xfId="6" applyNumberFormat="1" applyFont="1" applyFill="1" applyBorder="1" applyAlignment="1">
      <alignment horizontal="center" vertical="center" wrapText="1"/>
    </xf>
    <xf numFmtId="205" fontId="5" fillId="21" borderId="3" xfId="6" applyNumberFormat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 wrapText="1"/>
    </xf>
    <xf numFmtId="192" fontId="22" fillId="21" borderId="2" xfId="6" applyNumberFormat="1" applyFont="1" applyFill="1" applyBorder="1" applyAlignment="1">
      <alignment horizontal="left" vertical="center" wrapText="1"/>
    </xf>
    <xf numFmtId="192" fontId="22" fillId="21" borderId="3" xfId="6" applyNumberFormat="1" applyFont="1" applyFill="1" applyBorder="1" applyAlignment="1">
      <alignment horizontal="left" vertical="center" wrapText="1"/>
    </xf>
    <xf numFmtId="187" fontId="22" fillId="21" borderId="2" xfId="6" applyNumberFormat="1" applyFont="1" applyFill="1" applyBorder="1" applyAlignment="1">
      <alignment horizontal="left" vertical="center" wrapText="1"/>
    </xf>
    <xf numFmtId="187" fontId="22" fillId="21" borderId="3" xfId="6" applyNumberFormat="1" applyFont="1" applyFill="1" applyBorder="1" applyAlignment="1">
      <alignment horizontal="left" vertical="center" wrapText="1"/>
    </xf>
    <xf numFmtId="191" fontId="22" fillId="21" borderId="2" xfId="6" applyNumberFormat="1" applyFont="1" applyFill="1" applyBorder="1" applyAlignment="1">
      <alignment horizontal="left" vertical="center" wrapText="1"/>
    </xf>
    <xf numFmtId="191" fontId="22" fillId="21" borderId="3" xfId="6" applyNumberFormat="1" applyFont="1" applyFill="1" applyBorder="1" applyAlignment="1">
      <alignment horizontal="left" vertical="center" wrapText="1"/>
    </xf>
    <xf numFmtId="189" fontId="22" fillId="21" borderId="2" xfId="8" applyNumberFormat="1" applyFont="1" applyFill="1" applyBorder="1" applyAlignment="1">
      <alignment horizontal="left" vertical="center" wrapText="1"/>
    </xf>
    <xf numFmtId="189" fontId="22" fillId="21" borderId="3" xfId="8" applyNumberFormat="1" applyFont="1" applyFill="1" applyBorder="1" applyAlignment="1">
      <alignment horizontal="left" vertical="center" wrapText="1"/>
    </xf>
    <xf numFmtId="188" fontId="22" fillId="19" borderId="2" xfId="8" applyNumberFormat="1" applyFont="1" applyFill="1" applyBorder="1" applyAlignment="1">
      <alignment horizontal="left" vertical="center" wrapText="1"/>
    </xf>
    <xf numFmtId="188" fontId="22" fillId="19" borderId="3" xfId="8" applyNumberFormat="1" applyFont="1" applyFill="1" applyBorder="1" applyAlignment="1">
      <alignment horizontal="left" vertical="center" wrapText="1"/>
    </xf>
    <xf numFmtId="49" fontId="22" fillId="19" borderId="1" xfId="7" applyNumberFormat="1" applyFont="1" applyFill="1" applyBorder="1" applyAlignment="1">
      <alignment horizontal="center" vertical="center" wrapText="1"/>
    </xf>
    <xf numFmtId="49" fontId="22" fillId="19" borderId="2" xfId="7" applyNumberFormat="1" applyFont="1" applyFill="1" applyBorder="1" applyAlignment="1">
      <alignment horizontal="center" vertical="center" wrapText="1"/>
    </xf>
    <xf numFmtId="49" fontId="22" fillId="19" borderId="3" xfId="7" applyNumberFormat="1" applyFont="1" applyFill="1" applyBorder="1" applyAlignment="1">
      <alignment horizontal="center" vertical="center" wrapText="1"/>
    </xf>
    <xf numFmtId="192" fontId="22" fillId="19" borderId="2" xfId="8" applyNumberFormat="1" applyFont="1" applyFill="1" applyBorder="1" applyAlignment="1">
      <alignment horizontal="left" vertical="center" wrapText="1"/>
    </xf>
    <xf numFmtId="192" fontId="22" fillId="19" borderId="3" xfId="8" applyNumberFormat="1" applyFont="1" applyFill="1" applyBorder="1" applyAlignment="1">
      <alignment horizontal="left" vertical="center" wrapText="1"/>
    </xf>
    <xf numFmtId="0" fontId="5" fillId="19" borderId="7" xfId="7" applyFont="1" applyFill="1" applyBorder="1" applyAlignment="1">
      <alignment horizontal="left" vertical="center" wrapText="1"/>
    </xf>
    <xf numFmtId="0" fontId="5" fillId="19" borderId="8" xfId="7" applyFont="1" applyFill="1" applyBorder="1" applyAlignment="1">
      <alignment horizontal="left" vertical="center" wrapText="1"/>
    </xf>
    <xf numFmtId="0" fontId="5" fillId="19" borderId="9" xfId="7" applyFont="1" applyFill="1" applyBorder="1" applyAlignment="1">
      <alignment horizontal="left" vertical="center" wrapText="1"/>
    </xf>
    <xf numFmtId="0" fontId="5" fillId="19" borderId="14" xfId="7" applyFont="1" applyFill="1" applyBorder="1" applyAlignment="1">
      <alignment horizontal="left" vertical="center" wrapText="1"/>
    </xf>
    <xf numFmtId="0" fontId="5" fillId="19" borderId="0" xfId="7" applyFont="1" applyFill="1" applyBorder="1" applyAlignment="1">
      <alignment horizontal="left" vertical="center" wrapText="1"/>
    </xf>
    <xf numFmtId="0" fontId="5" fillId="19" borderId="15" xfId="7" applyFont="1" applyFill="1" applyBorder="1" applyAlignment="1">
      <alignment horizontal="left" vertical="center" wrapText="1"/>
    </xf>
    <xf numFmtId="0" fontId="5" fillId="19" borderId="11" xfId="7" applyFont="1" applyFill="1" applyBorder="1" applyAlignment="1">
      <alignment horizontal="left" vertical="center" wrapText="1"/>
    </xf>
    <xf numFmtId="0" fontId="5" fillId="19" borderId="12" xfId="7" applyFont="1" applyFill="1" applyBorder="1" applyAlignment="1">
      <alignment horizontal="left" vertical="center" wrapText="1"/>
    </xf>
    <xf numFmtId="0" fontId="5" fillId="19" borderId="13" xfId="7" applyFont="1" applyFill="1" applyBorder="1" applyAlignment="1">
      <alignment horizontal="left" vertical="center" wrapText="1"/>
    </xf>
    <xf numFmtId="195" fontId="5" fillId="19" borderId="1" xfId="7" applyNumberFormat="1" applyFont="1" applyFill="1" applyBorder="1" applyAlignment="1">
      <alignment horizontal="center" vertical="center" wrapText="1"/>
    </xf>
    <xf numFmtId="195" fontId="5" fillId="19" borderId="2" xfId="7" applyNumberFormat="1" applyFont="1" applyFill="1" applyBorder="1" applyAlignment="1">
      <alignment horizontal="center" vertical="center" wrapText="1"/>
    </xf>
    <xf numFmtId="195" fontId="5" fillId="19" borderId="3" xfId="7" applyNumberFormat="1" applyFont="1" applyFill="1" applyBorder="1" applyAlignment="1">
      <alignment horizontal="center" vertical="center" wrapText="1"/>
    </xf>
    <xf numFmtId="205" fontId="5" fillId="19" borderId="1" xfId="7" applyNumberFormat="1" applyFont="1" applyFill="1" applyBorder="1" applyAlignment="1">
      <alignment horizontal="center" vertical="center" wrapText="1"/>
    </xf>
    <xf numFmtId="205" fontId="5" fillId="19" borderId="2" xfId="7" applyNumberFormat="1" applyFont="1" applyFill="1" applyBorder="1" applyAlignment="1">
      <alignment horizontal="center" vertical="center" wrapText="1"/>
    </xf>
    <xf numFmtId="205" fontId="5" fillId="19" borderId="3" xfId="7" applyNumberFormat="1" applyFont="1" applyFill="1" applyBorder="1" applyAlignment="1">
      <alignment horizontal="center" vertical="center" wrapText="1"/>
    </xf>
    <xf numFmtId="0" fontId="7" fillId="20" borderId="14" xfId="7" applyFont="1" applyFill="1" applyBorder="1" applyAlignment="1">
      <alignment horizontal="left" vertical="top" wrapText="1"/>
    </xf>
    <xf numFmtId="0" fontId="7" fillId="20" borderId="0" xfId="7" applyFont="1" applyFill="1" applyBorder="1" applyAlignment="1">
      <alignment horizontal="left" vertical="top" wrapText="1"/>
    </xf>
    <xf numFmtId="0" fontId="7" fillId="20" borderId="15" xfId="7" applyFont="1" applyFill="1" applyBorder="1" applyAlignment="1">
      <alignment horizontal="left" vertical="top" wrapText="1"/>
    </xf>
    <xf numFmtId="0" fontId="7" fillId="20" borderId="11" xfId="7" applyFont="1" applyFill="1" applyBorder="1" applyAlignment="1">
      <alignment horizontal="left" vertical="top" wrapText="1"/>
    </xf>
    <xf numFmtId="0" fontId="7" fillId="20" borderId="12" xfId="7" applyFont="1" applyFill="1" applyBorder="1" applyAlignment="1">
      <alignment horizontal="left" vertical="top" wrapText="1"/>
    </xf>
    <xf numFmtId="0" fontId="7" fillId="20" borderId="13" xfId="7" applyFont="1" applyFill="1" applyBorder="1" applyAlignment="1">
      <alignment horizontal="left" vertical="top" wrapText="1"/>
    </xf>
    <xf numFmtId="191" fontId="22" fillId="19" borderId="2" xfId="7" applyNumberFormat="1" applyFont="1" applyFill="1" applyBorder="1" applyAlignment="1">
      <alignment horizontal="left" vertical="center" wrapText="1"/>
    </xf>
    <xf numFmtId="191" fontId="22" fillId="19" borderId="3" xfId="7" applyNumberFormat="1" applyFont="1" applyFill="1" applyBorder="1" applyAlignment="1">
      <alignment horizontal="left" vertical="center" wrapText="1"/>
    </xf>
    <xf numFmtId="49" fontId="22" fillId="19" borderId="4" xfId="7" applyNumberFormat="1" applyFont="1" applyFill="1" applyBorder="1" applyAlignment="1">
      <alignment horizontal="left" vertical="center" wrapText="1"/>
    </xf>
    <xf numFmtId="0" fontId="6" fillId="19" borderId="6" xfId="7" applyFont="1" applyFill="1" applyBorder="1" applyAlignment="1">
      <alignment horizontal="left" vertical="center" wrapText="1"/>
    </xf>
    <xf numFmtId="192" fontId="22" fillId="19" borderId="2" xfId="6" applyNumberFormat="1" applyFont="1" applyFill="1" applyBorder="1" applyAlignment="1">
      <alignment horizontal="left" vertical="center" wrapText="1"/>
    </xf>
    <xf numFmtId="192" fontId="22" fillId="19" borderId="3" xfId="6" applyNumberFormat="1" applyFont="1" applyFill="1" applyBorder="1" applyAlignment="1">
      <alignment horizontal="left" vertical="center" wrapText="1"/>
    </xf>
    <xf numFmtId="187" fontId="22" fillId="19" borderId="2" xfId="7" applyNumberFormat="1" applyFont="1" applyFill="1" applyBorder="1" applyAlignment="1">
      <alignment horizontal="left" vertical="center" wrapText="1"/>
    </xf>
    <xf numFmtId="187" fontId="22" fillId="19" borderId="3" xfId="7" applyNumberFormat="1" applyFont="1" applyFill="1" applyBorder="1" applyAlignment="1">
      <alignment horizontal="left" vertical="center" wrapText="1"/>
    </xf>
    <xf numFmtId="191" fontId="22" fillId="19" borderId="2" xfId="6" applyNumberFormat="1" applyFont="1" applyFill="1" applyBorder="1" applyAlignment="1">
      <alignment horizontal="left" vertical="center" wrapText="1"/>
    </xf>
    <xf numFmtId="191" fontId="22" fillId="19" borderId="3" xfId="6" applyNumberFormat="1" applyFont="1" applyFill="1" applyBorder="1" applyAlignment="1">
      <alignment horizontal="left" vertical="center" wrapText="1"/>
    </xf>
    <xf numFmtId="49" fontId="23" fillId="19" borderId="7" xfId="7" applyNumberFormat="1" applyFont="1" applyFill="1" applyBorder="1" applyAlignment="1">
      <alignment horizontal="left" vertical="center" wrapText="1"/>
    </xf>
    <xf numFmtId="49" fontId="23" fillId="19" borderId="8" xfId="7" applyNumberFormat="1" applyFont="1" applyFill="1" applyBorder="1" applyAlignment="1">
      <alignment horizontal="left" vertical="center" wrapText="1"/>
    </xf>
    <xf numFmtId="49" fontId="23" fillId="19" borderId="9" xfId="7" applyNumberFormat="1" applyFont="1" applyFill="1" applyBorder="1" applyAlignment="1">
      <alignment horizontal="left" vertical="center" wrapText="1"/>
    </xf>
    <xf numFmtId="49" fontId="23" fillId="19" borderId="14" xfId="7" applyNumberFormat="1" applyFont="1" applyFill="1" applyBorder="1" applyAlignment="1">
      <alignment horizontal="left" vertical="center" wrapText="1"/>
    </xf>
    <xf numFmtId="49" fontId="23" fillId="19" borderId="0" xfId="7" applyNumberFormat="1" applyFont="1" applyFill="1" applyBorder="1" applyAlignment="1">
      <alignment horizontal="left" vertical="center" wrapText="1"/>
    </xf>
    <xf numFmtId="49" fontId="23" fillId="19" borderId="15" xfId="7" applyNumberFormat="1" applyFont="1" applyFill="1" applyBorder="1" applyAlignment="1">
      <alignment horizontal="left" vertical="center" wrapText="1"/>
    </xf>
    <xf numFmtId="49" fontId="23" fillId="19" borderId="11" xfId="7" applyNumberFormat="1" applyFont="1" applyFill="1" applyBorder="1" applyAlignment="1">
      <alignment horizontal="left" vertical="center" wrapText="1"/>
    </xf>
    <xf numFmtId="49" fontId="23" fillId="19" borderId="12" xfId="7" applyNumberFormat="1" applyFont="1" applyFill="1" applyBorder="1" applyAlignment="1">
      <alignment horizontal="left" vertical="center" wrapText="1"/>
    </xf>
    <xf numFmtId="49" fontId="23" fillId="19" borderId="13" xfId="7" applyNumberFormat="1" applyFont="1" applyFill="1" applyBorder="1" applyAlignment="1">
      <alignment horizontal="left" vertical="center" wrapText="1"/>
    </xf>
    <xf numFmtId="184" fontId="22" fillId="19" borderId="2" xfId="6" applyNumberFormat="1" applyFont="1" applyFill="1" applyBorder="1" applyAlignment="1">
      <alignment horizontal="left" vertical="center" wrapText="1"/>
    </xf>
    <xf numFmtId="184" fontId="22" fillId="19" borderId="3" xfId="6" applyNumberFormat="1" applyFont="1" applyFill="1" applyBorder="1" applyAlignment="1">
      <alignment horizontal="left" vertical="center" wrapText="1"/>
    </xf>
    <xf numFmtId="190" fontId="22" fillId="19" borderId="2" xfId="8" applyNumberFormat="1" applyFont="1" applyFill="1" applyBorder="1" applyAlignment="1">
      <alignment horizontal="left" vertical="center" wrapText="1"/>
    </xf>
    <xf numFmtId="190" fontId="22" fillId="19" borderId="3" xfId="8" applyNumberFormat="1" applyFont="1" applyFill="1" applyBorder="1" applyAlignment="1">
      <alignment horizontal="left" vertical="center" wrapText="1"/>
    </xf>
    <xf numFmtId="190" fontId="22" fillId="18" borderId="2" xfId="8" applyNumberFormat="1" applyFont="1" applyFill="1" applyBorder="1" applyAlignment="1">
      <alignment horizontal="left" vertical="center" wrapText="1"/>
    </xf>
    <xf numFmtId="190" fontId="22" fillId="18" borderId="3" xfId="8" applyNumberFormat="1" applyFont="1" applyFill="1" applyBorder="1" applyAlignment="1">
      <alignment horizontal="left" vertical="center" wrapText="1"/>
    </xf>
    <xf numFmtId="0" fontId="5" fillId="20" borderId="7" xfId="7" applyFont="1" applyFill="1" applyBorder="1" applyAlignment="1">
      <alignment horizontal="left" wrapText="1"/>
    </xf>
    <xf numFmtId="0" fontId="5" fillId="20" borderId="8" xfId="7" applyFont="1" applyFill="1" applyBorder="1" applyAlignment="1">
      <alignment horizontal="left" wrapText="1"/>
    </xf>
    <xf numFmtId="0" fontId="5" fillId="20" borderId="9" xfId="7" applyFont="1" applyFill="1" applyBorder="1" applyAlignment="1">
      <alignment horizontal="left" wrapText="1"/>
    </xf>
    <xf numFmtId="0" fontId="5" fillId="20" borderId="14" xfId="7" applyFont="1" applyFill="1" applyBorder="1" applyAlignment="1">
      <alignment horizontal="left" wrapText="1"/>
    </xf>
    <xf numFmtId="0" fontId="5" fillId="20" borderId="0" xfId="7" applyFont="1" applyFill="1" applyBorder="1" applyAlignment="1">
      <alignment horizontal="left" wrapText="1"/>
    </xf>
    <xf numFmtId="0" fontId="5" fillId="20" borderId="15" xfId="7" applyFont="1" applyFill="1" applyBorder="1" applyAlignment="1">
      <alignment horizontal="left" wrapText="1"/>
    </xf>
    <xf numFmtId="182" fontId="5" fillId="19" borderId="1" xfId="7" applyNumberFormat="1" applyFont="1" applyFill="1" applyBorder="1" applyAlignment="1">
      <alignment horizontal="center" vertical="center" wrapText="1"/>
    </xf>
    <xf numFmtId="182" fontId="5" fillId="19" borderId="2" xfId="7" applyNumberFormat="1" applyFont="1" applyFill="1" applyBorder="1" applyAlignment="1">
      <alignment horizontal="center" vertical="center" wrapText="1"/>
    </xf>
    <xf numFmtId="182" fontId="5" fillId="19" borderId="3" xfId="7" applyNumberFormat="1" applyFont="1" applyFill="1" applyBorder="1" applyAlignment="1">
      <alignment horizontal="center" vertical="center" wrapText="1"/>
    </xf>
    <xf numFmtId="0" fontId="5" fillId="19" borderId="1" xfId="7" applyNumberFormat="1" applyFont="1" applyFill="1" applyBorder="1" applyAlignment="1">
      <alignment horizontal="center" vertical="center" wrapText="1"/>
    </xf>
    <xf numFmtId="0" fontId="5" fillId="19" borderId="2" xfId="7" applyNumberFormat="1" applyFont="1" applyFill="1" applyBorder="1" applyAlignment="1">
      <alignment horizontal="center" vertical="center" wrapText="1"/>
    </xf>
    <xf numFmtId="0" fontId="5" fillId="19" borderId="3" xfId="7" applyNumberFormat="1" applyFont="1" applyFill="1" applyBorder="1" applyAlignment="1">
      <alignment horizontal="center" vertical="center" wrapText="1"/>
    </xf>
    <xf numFmtId="184" fontId="22" fillId="19" borderId="2" xfId="7" applyNumberFormat="1" applyFont="1" applyFill="1" applyBorder="1" applyAlignment="1">
      <alignment horizontal="left" vertical="center" wrapText="1"/>
    </xf>
    <xf numFmtId="184" fontId="22" fillId="19" borderId="3" xfId="7" applyNumberFormat="1" applyFont="1" applyFill="1" applyBorder="1" applyAlignment="1">
      <alignment horizontal="left" vertical="center" wrapText="1"/>
    </xf>
    <xf numFmtId="49" fontId="22" fillId="19" borderId="1" xfId="7" applyNumberFormat="1" applyFont="1" applyFill="1" applyBorder="1" applyAlignment="1">
      <alignment horizontal="left" vertical="center" wrapText="1"/>
    </xf>
    <xf numFmtId="49" fontId="22" fillId="19" borderId="2" xfId="7" applyNumberFormat="1" applyFont="1" applyFill="1" applyBorder="1" applyAlignment="1">
      <alignment horizontal="left" vertical="center" wrapText="1"/>
    </xf>
    <xf numFmtId="49" fontId="22" fillId="19" borderId="3" xfId="7" applyNumberFormat="1" applyFont="1" applyFill="1" applyBorder="1" applyAlignment="1">
      <alignment horizontal="left" vertical="center" wrapText="1"/>
    </xf>
    <xf numFmtId="212" fontId="22" fillId="19" borderId="2" xfId="7" applyNumberFormat="1" applyFont="1" applyFill="1" applyBorder="1" applyAlignment="1">
      <alignment horizontal="left" vertical="center" wrapText="1"/>
    </xf>
    <xf numFmtId="212" fontId="22" fillId="19" borderId="3" xfId="7" applyNumberFormat="1" applyFont="1" applyFill="1" applyBorder="1" applyAlignment="1">
      <alignment horizontal="left" vertical="center" wrapText="1"/>
    </xf>
    <xf numFmtId="191" fontId="22" fillId="18" borderId="2" xfId="8" applyNumberFormat="1" applyFont="1" applyFill="1" applyBorder="1" applyAlignment="1">
      <alignment horizontal="left" vertical="center" wrapText="1"/>
    </xf>
    <xf numFmtId="191" fontId="22" fillId="18" borderId="3" xfId="8" applyNumberFormat="1" applyFont="1" applyFill="1" applyBorder="1" applyAlignment="1">
      <alignment horizontal="left" vertical="center" wrapText="1"/>
    </xf>
    <xf numFmtId="192" fontId="22" fillId="18" borderId="2" xfId="8" applyNumberFormat="1" applyFont="1" applyFill="1" applyBorder="1" applyAlignment="1">
      <alignment horizontal="left" vertical="center" wrapText="1"/>
    </xf>
    <xf numFmtId="192" fontId="22" fillId="18" borderId="3" xfId="8" applyNumberFormat="1" applyFont="1" applyFill="1" applyBorder="1" applyAlignment="1">
      <alignment horizontal="left" vertical="center" wrapText="1"/>
    </xf>
    <xf numFmtId="0" fontId="22" fillId="18" borderId="2" xfId="8" applyFont="1" applyFill="1" applyBorder="1" applyAlignment="1">
      <alignment horizontal="left" vertical="center" wrapText="1"/>
    </xf>
    <xf numFmtId="0" fontId="22" fillId="18" borderId="3" xfId="8" applyFont="1" applyFill="1" applyBorder="1" applyAlignment="1">
      <alignment horizontal="left" vertical="center" wrapText="1"/>
    </xf>
    <xf numFmtId="186" fontId="22" fillId="18" borderId="2" xfId="8" applyNumberFormat="1" applyFont="1" applyFill="1" applyBorder="1" applyAlignment="1">
      <alignment horizontal="left" vertical="center" wrapText="1"/>
    </xf>
    <xf numFmtId="186" fontId="22" fillId="18" borderId="3" xfId="8" applyNumberFormat="1" applyFont="1" applyFill="1" applyBorder="1" applyAlignment="1">
      <alignment horizontal="left" vertical="center" wrapText="1"/>
    </xf>
    <xf numFmtId="188" fontId="22" fillId="18" borderId="2" xfId="8" applyNumberFormat="1" applyFont="1" applyFill="1" applyBorder="1" applyAlignment="1">
      <alignment horizontal="left" vertical="center" wrapText="1"/>
    </xf>
    <xf numFmtId="188" fontId="22" fillId="18" borderId="3" xfId="8" applyNumberFormat="1" applyFont="1" applyFill="1" applyBorder="1" applyAlignment="1">
      <alignment horizontal="left" vertical="center" wrapText="1"/>
    </xf>
    <xf numFmtId="189" fontId="22" fillId="18" borderId="2" xfId="8" applyNumberFormat="1" applyFont="1" applyFill="1" applyBorder="1" applyAlignment="1">
      <alignment horizontal="left" vertical="center" wrapText="1"/>
    </xf>
    <xf numFmtId="189" fontId="22" fillId="18" borderId="3" xfId="8" applyNumberFormat="1" applyFont="1" applyFill="1" applyBorder="1" applyAlignment="1">
      <alignment horizontal="left" vertical="center" wrapText="1"/>
    </xf>
    <xf numFmtId="0" fontId="21" fillId="17" borderId="1" xfId="5" applyFont="1" applyFill="1" applyBorder="1" applyAlignment="1">
      <alignment horizontal="center" vertical="center" wrapText="1"/>
    </xf>
    <xf numFmtId="0" fontId="21" fillId="17" borderId="2" xfId="5" applyFont="1" applyFill="1" applyBorder="1" applyAlignment="1">
      <alignment horizontal="center" vertical="center" wrapText="1"/>
    </xf>
    <xf numFmtId="0" fontId="21" fillId="17" borderId="3" xfId="5" applyFont="1" applyFill="1" applyBorder="1" applyAlignment="1">
      <alignment horizontal="center" vertical="center" wrapText="1"/>
    </xf>
    <xf numFmtId="0" fontId="5" fillId="18" borderId="7" xfId="8" applyFont="1" applyFill="1" applyBorder="1" applyAlignment="1">
      <alignment horizontal="left" vertical="center" wrapText="1"/>
    </xf>
    <xf numFmtId="0" fontId="5" fillId="18" borderId="8" xfId="8" applyFont="1" applyFill="1" applyBorder="1" applyAlignment="1">
      <alignment horizontal="left" vertical="center" wrapText="1"/>
    </xf>
    <xf numFmtId="0" fontId="5" fillId="18" borderId="9" xfId="8" applyFont="1" applyFill="1" applyBorder="1" applyAlignment="1">
      <alignment horizontal="left" vertical="center" wrapText="1"/>
    </xf>
    <xf numFmtId="0" fontId="5" fillId="18" borderId="14" xfId="8" applyFont="1" applyFill="1" applyBorder="1" applyAlignment="1">
      <alignment horizontal="left" vertical="center" wrapText="1"/>
    </xf>
    <xf numFmtId="0" fontId="5" fillId="18" borderId="0" xfId="8" applyFont="1" applyFill="1" applyBorder="1" applyAlignment="1">
      <alignment horizontal="left" vertical="center" wrapText="1"/>
    </xf>
    <xf numFmtId="0" fontId="5" fillId="18" borderId="15" xfId="8" applyFont="1" applyFill="1" applyBorder="1" applyAlignment="1">
      <alignment horizontal="left" vertical="center" wrapText="1"/>
    </xf>
    <xf numFmtId="0" fontId="5" fillId="18" borderId="11" xfId="8" applyFont="1" applyFill="1" applyBorder="1" applyAlignment="1">
      <alignment horizontal="left" vertical="center" wrapText="1"/>
    </xf>
    <xf numFmtId="0" fontId="5" fillId="18" borderId="12" xfId="8" applyFont="1" applyFill="1" applyBorder="1" applyAlignment="1">
      <alignment horizontal="left" vertical="center" wrapText="1"/>
    </xf>
    <xf numFmtId="0" fontId="5" fillId="18" borderId="13" xfId="8" applyFont="1" applyFill="1" applyBorder="1" applyAlignment="1">
      <alignment horizontal="left" vertical="center" wrapText="1"/>
    </xf>
    <xf numFmtId="195" fontId="5" fillId="18" borderId="1" xfId="8" applyNumberFormat="1" applyFont="1" applyFill="1" applyBorder="1" applyAlignment="1">
      <alignment horizontal="center" vertical="center" wrapText="1"/>
    </xf>
    <xf numFmtId="195" fontId="5" fillId="18" borderId="2" xfId="8" applyNumberFormat="1" applyFont="1" applyFill="1" applyBorder="1" applyAlignment="1">
      <alignment horizontal="center" vertical="center" wrapText="1"/>
    </xf>
    <xf numFmtId="195" fontId="5" fillId="18" borderId="3" xfId="8" applyNumberFormat="1" applyFont="1" applyFill="1" applyBorder="1" applyAlignment="1">
      <alignment horizontal="center" vertical="center" wrapText="1"/>
    </xf>
    <xf numFmtId="183" fontId="5" fillId="18" borderId="1" xfId="8" applyNumberFormat="1" applyFont="1" applyFill="1" applyBorder="1" applyAlignment="1">
      <alignment horizontal="center" vertical="center" wrapText="1"/>
    </xf>
    <xf numFmtId="183" fontId="5" fillId="18" borderId="2" xfId="8" applyNumberFormat="1" applyFont="1" applyFill="1" applyBorder="1" applyAlignment="1">
      <alignment horizontal="center" vertical="center" wrapText="1"/>
    </xf>
    <xf numFmtId="183" fontId="5" fillId="18" borderId="3" xfId="8" applyNumberFormat="1" applyFont="1" applyFill="1" applyBorder="1" applyAlignment="1">
      <alignment horizontal="center" vertical="center" wrapText="1"/>
    </xf>
    <xf numFmtId="184" fontId="22" fillId="18" borderId="2" xfId="8" applyNumberFormat="1" applyFont="1" applyFill="1" applyBorder="1" applyAlignment="1">
      <alignment horizontal="left" vertical="center" wrapText="1"/>
    </xf>
    <xf numFmtId="184" fontId="22" fillId="18" borderId="3" xfId="8" applyNumberFormat="1" applyFont="1" applyFill="1" applyBorder="1" applyAlignment="1">
      <alignment horizontal="left" vertical="center" wrapText="1"/>
    </xf>
    <xf numFmtId="185" fontId="22" fillId="18" borderId="2" xfId="8" applyNumberFormat="1" applyFont="1" applyFill="1" applyBorder="1" applyAlignment="1">
      <alignment horizontal="left" vertical="center" wrapText="1"/>
    </xf>
    <xf numFmtId="185" fontId="22" fillId="18" borderId="3" xfId="8" applyNumberFormat="1" applyFont="1" applyFill="1" applyBorder="1" applyAlignment="1">
      <alignment horizontal="left" vertical="center" wrapText="1"/>
    </xf>
    <xf numFmtId="0" fontId="23" fillId="18" borderId="7" xfId="8" applyFont="1" applyFill="1" applyBorder="1" applyAlignment="1">
      <alignment horizontal="left" vertical="center" wrapText="1"/>
    </xf>
    <xf numFmtId="0" fontId="23" fillId="18" borderId="8" xfId="8" applyFont="1" applyFill="1" applyBorder="1" applyAlignment="1">
      <alignment horizontal="left" vertical="center" wrapText="1"/>
    </xf>
    <xf numFmtId="0" fontId="23" fillId="18" borderId="9" xfId="8" applyFont="1" applyFill="1" applyBorder="1" applyAlignment="1">
      <alignment horizontal="left" vertical="center" wrapText="1"/>
    </xf>
    <xf numFmtId="0" fontId="23" fillId="18" borderId="14" xfId="8" applyFont="1" applyFill="1" applyBorder="1" applyAlignment="1">
      <alignment horizontal="left" vertical="center" wrapText="1"/>
    </xf>
    <xf numFmtId="0" fontId="23" fillId="18" borderId="0" xfId="8" applyFont="1" applyFill="1" applyBorder="1" applyAlignment="1">
      <alignment horizontal="left" vertical="center" wrapText="1"/>
    </xf>
    <xf numFmtId="0" fontId="23" fillId="18" borderId="15" xfId="8" applyFont="1" applyFill="1" applyBorder="1" applyAlignment="1">
      <alignment horizontal="left" vertical="center" wrapText="1"/>
    </xf>
    <xf numFmtId="0" fontId="23" fillId="18" borderId="11" xfId="8" applyFont="1" applyFill="1" applyBorder="1" applyAlignment="1">
      <alignment horizontal="left" vertical="center" wrapText="1"/>
    </xf>
    <xf numFmtId="0" fontId="23" fillId="18" borderId="12" xfId="8" applyFont="1" applyFill="1" applyBorder="1" applyAlignment="1">
      <alignment horizontal="left" vertical="center" wrapText="1"/>
    </xf>
    <xf numFmtId="0" fontId="23" fillId="18" borderId="13" xfId="8" applyFont="1" applyFill="1" applyBorder="1" applyAlignment="1">
      <alignment horizontal="left" vertical="center" wrapText="1"/>
    </xf>
    <xf numFmtId="181" fontId="6" fillId="16" borderId="4" xfId="4" applyNumberFormat="1" applyFont="1" applyFill="1" applyBorder="1" applyAlignment="1">
      <alignment horizontal="center" vertical="center" wrapText="1"/>
    </xf>
    <xf numFmtId="0" fontId="6" fillId="16" borderId="1" xfId="4" applyFont="1" applyFill="1" applyBorder="1" applyAlignment="1">
      <alignment horizontal="center" vertical="center" wrapText="1"/>
    </xf>
    <xf numFmtId="0" fontId="6" fillId="16" borderId="3" xfId="4" applyFont="1" applyFill="1" applyBorder="1" applyAlignment="1">
      <alignment horizontal="center" vertical="center" wrapText="1"/>
    </xf>
    <xf numFmtId="178" fontId="6" fillId="16" borderId="1" xfId="4" applyNumberFormat="1" applyFont="1" applyFill="1" applyBorder="1" applyAlignment="1">
      <alignment horizontal="right" vertical="center" wrapText="1"/>
    </xf>
    <xf numFmtId="178" fontId="6" fillId="16" borderId="2" xfId="4" applyNumberFormat="1" applyFont="1" applyFill="1" applyBorder="1" applyAlignment="1">
      <alignment horizontal="right" vertical="center" wrapText="1"/>
    </xf>
    <xf numFmtId="0" fontId="20" fillId="17" borderId="1" xfId="5" applyFont="1" applyFill="1" applyBorder="1" applyAlignment="1">
      <alignment horizontal="center" vertical="center" wrapText="1"/>
    </xf>
    <xf numFmtId="0" fontId="20" fillId="17" borderId="2" xfId="5" applyFont="1" applyFill="1" applyBorder="1" applyAlignment="1">
      <alignment horizontal="center" vertical="center" wrapText="1"/>
    </xf>
    <xf numFmtId="0" fontId="20" fillId="17" borderId="3" xfId="5" applyFont="1" applyFill="1" applyBorder="1" applyAlignment="1">
      <alignment horizontal="center" vertical="center" wrapText="1"/>
    </xf>
    <xf numFmtId="0" fontId="5" fillId="16" borderId="5" xfId="4" applyFont="1" applyFill="1" applyBorder="1" applyAlignment="1">
      <alignment horizontal="center" vertical="center" wrapText="1"/>
    </xf>
    <xf numFmtId="0" fontId="5" fillId="16" borderId="10" xfId="4" applyFont="1" applyFill="1" applyBorder="1" applyAlignment="1">
      <alignment horizontal="center" vertical="center" wrapText="1"/>
    </xf>
    <xf numFmtId="0" fontId="7" fillId="16" borderId="7" xfId="4" applyFont="1" applyFill="1" applyBorder="1" applyAlignment="1">
      <alignment horizontal="left" vertical="center" wrapText="1"/>
    </xf>
    <xf numFmtId="0" fontId="7" fillId="16" borderId="8" xfId="4" applyFont="1" applyFill="1" applyBorder="1" applyAlignment="1">
      <alignment horizontal="left" vertical="center" wrapText="1"/>
    </xf>
    <xf numFmtId="0" fontId="7" fillId="16" borderId="9" xfId="4" applyFont="1" applyFill="1" applyBorder="1" applyAlignment="1">
      <alignment horizontal="left" vertical="center" wrapText="1"/>
    </xf>
    <xf numFmtId="0" fontId="7" fillId="16" borderId="11" xfId="4" applyFont="1" applyFill="1" applyBorder="1" applyAlignment="1">
      <alignment horizontal="left" vertical="center" wrapText="1"/>
    </xf>
    <xf numFmtId="0" fontId="7" fillId="16" borderId="12" xfId="4" applyFont="1" applyFill="1" applyBorder="1" applyAlignment="1">
      <alignment horizontal="left" vertical="center" wrapText="1"/>
    </xf>
    <xf numFmtId="0" fontId="7" fillId="16" borderId="13" xfId="4" applyFont="1" applyFill="1" applyBorder="1" applyAlignment="1">
      <alignment horizontal="left" vertical="center" wrapText="1"/>
    </xf>
    <xf numFmtId="177" fontId="17" fillId="16" borderId="4" xfId="4" applyNumberFormat="1" applyFont="1" applyFill="1" applyBorder="1" applyAlignment="1">
      <alignment horizontal="center" vertical="center" wrapText="1"/>
    </xf>
    <xf numFmtId="0" fontId="5" fillId="16" borderId="6" xfId="4" applyFont="1" applyFill="1" applyBorder="1" applyAlignment="1">
      <alignment horizontal="center" vertical="center" wrapText="1"/>
    </xf>
    <xf numFmtId="0" fontId="5" fillId="16" borderId="1" xfId="4" applyFont="1" applyFill="1" applyBorder="1" applyAlignment="1">
      <alignment horizontal="center" vertical="center" wrapText="1"/>
    </xf>
    <xf numFmtId="0" fontId="5" fillId="16" borderId="3" xfId="4" applyFont="1" applyFill="1" applyBorder="1" applyAlignment="1">
      <alignment horizontal="center" vertical="center" wrapText="1"/>
    </xf>
    <xf numFmtId="0" fontId="6" fillId="16" borderId="4" xfId="4" applyFont="1" applyFill="1" applyBorder="1" applyAlignment="1">
      <alignment horizontal="center" vertical="center" wrapText="1"/>
    </xf>
    <xf numFmtId="173" fontId="6" fillId="16" borderId="4" xfId="4" applyNumberFormat="1" applyFont="1" applyFill="1" applyBorder="1" applyAlignment="1">
      <alignment horizontal="left" vertical="center" wrapText="1"/>
    </xf>
    <xf numFmtId="173" fontId="6" fillId="16" borderId="1" xfId="4" applyNumberFormat="1" applyFont="1" applyFill="1" applyBorder="1" applyAlignment="1">
      <alignment horizontal="left" vertical="center" wrapText="1"/>
    </xf>
    <xf numFmtId="173" fontId="6" fillId="16" borderId="2" xfId="4" applyNumberFormat="1" applyFont="1" applyFill="1" applyBorder="1" applyAlignment="1">
      <alignment horizontal="left" vertical="center" wrapText="1"/>
    </xf>
    <xf numFmtId="173" fontId="6" fillId="16" borderId="3" xfId="4" applyNumberFormat="1" applyFont="1" applyFill="1" applyBorder="1" applyAlignment="1">
      <alignment horizontal="left" vertical="center" wrapText="1"/>
    </xf>
    <xf numFmtId="175" fontId="16" fillId="16" borderId="1" xfId="4" applyNumberFormat="1" applyFont="1" applyFill="1" applyBorder="1" applyAlignment="1">
      <alignment horizontal="left" vertical="center" wrapText="1"/>
    </xf>
    <xf numFmtId="175" fontId="16" fillId="16" borderId="2" xfId="4" applyNumberFormat="1" applyFont="1" applyFill="1" applyBorder="1" applyAlignment="1">
      <alignment horizontal="left" vertical="center" wrapText="1"/>
    </xf>
    <xf numFmtId="175" fontId="16" fillId="16" borderId="3" xfId="4" applyNumberFormat="1" applyFont="1" applyFill="1" applyBorder="1" applyAlignment="1">
      <alignment horizontal="left" vertical="center" wrapText="1"/>
    </xf>
    <xf numFmtId="176" fontId="7" fillId="16" borderId="5" xfId="4" applyNumberFormat="1" applyFont="1" applyFill="1" applyBorder="1" applyAlignment="1">
      <alignment horizontal="center" vertical="center" wrapText="1"/>
    </xf>
    <xf numFmtId="176" fontId="7" fillId="16" borderId="6" xfId="4" applyNumberFormat="1" applyFont="1" applyFill="1" applyBorder="1" applyAlignment="1">
      <alignment horizontal="center" vertical="center" wrapText="1"/>
    </xf>
    <xf numFmtId="176" fontId="7" fillId="16" borderId="10" xfId="4" applyNumberFormat="1" applyFont="1" applyFill="1" applyBorder="1" applyAlignment="1">
      <alignment horizontal="center" vertical="center" wrapText="1"/>
    </xf>
    <xf numFmtId="177" fontId="17" fillId="16" borderId="4" xfId="4" applyNumberFormat="1" applyFont="1" applyFill="1" applyBorder="1" applyAlignment="1">
      <alignment horizontal="left" vertical="center" wrapText="1"/>
    </xf>
    <xf numFmtId="177" fontId="7" fillId="16" borderId="4" xfId="4" applyNumberFormat="1" applyFont="1" applyFill="1" applyBorder="1" applyAlignment="1">
      <alignment horizontal="left" vertical="center" wrapText="1"/>
    </xf>
    <xf numFmtId="0" fontId="7" fillId="16" borderId="1" xfId="4" applyFont="1" applyFill="1" applyBorder="1" applyAlignment="1">
      <alignment horizontal="left" vertical="center" wrapText="1"/>
    </xf>
    <xf numFmtId="0" fontId="7" fillId="16" borderId="2" xfId="4" applyFont="1" applyFill="1" applyBorder="1" applyAlignment="1">
      <alignment horizontal="left" vertical="center" wrapText="1"/>
    </xf>
    <xf numFmtId="0" fontId="7" fillId="16" borderId="3" xfId="4" applyFont="1" applyFill="1" applyBorder="1" applyAlignment="1">
      <alignment horizontal="left" vertical="center" wrapText="1"/>
    </xf>
    <xf numFmtId="0" fontId="15" fillId="15" borderId="1" xfId="1" applyFont="1" applyFill="1" applyBorder="1" applyAlignment="1">
      <alignment horizontal="center" vertical="center" wrapText="1"/>
    </xf>
    <xf numFmtId="0" fontId="15" fillId="15" borderId="2" xfId="1" applyFont="1" applyFill="1" applyBorder="1" applyAlignment="1">
      <alignment horizontal="center" vertical="center" wrapText="1"/>
    </xf>
    <xf numFmtId="0" fontId="15" fillId="15" borderId="3" xfId="1" applyFont="1" applyFill="1" applyBorder="1" applyAlignment="1">
      <alignment horizontal="center" vertical="center" wrapText="1"/>
    </xf>
    <xf numFmtId="167" fontId="6" fillId="16" borderId="4" xfId="4" applyNumberFormat="1" applyFont="1" applyFill="1" applyBorder="1" applyAlignment="1">
      <alignment horizontal="left" vertical="center" wrapText="1"/>
    </xf>
    <xf numFmtId="168" fontId="6" fillId="16" borderId="4" xfId="4" applyNumberFormat="1" applyFont="1" applyFill="1" applyBorder="1" applyAlignment="1">
      <alignment horizontal="left" vertical="center" wrapText="1"/>
    </xf>
    <xf numFmtId="169" fontId="6" fillId="16" borderId="4" xfId="4" applyNumberFormat="1" applyFont="1" applyFill="1" applyBorder="1" applyAlignment="1">
      <alignment horizontal="left" vertical="center" wrapText="1"/>
    </xf>
    <xf numFmtId="171" fontId="7" fillId="16" borderId="2" xfId="4" applyNumberFormat="1" applyFont="1" applyFill="1" applyBorder="1" applyAlignment="1">
      <alignment horizontal="left" vertical="center" wrapText="1"/>
    </xf>
    <xf numFmtId="171" fontId="7" fillId="16" borderId="3" xfId="4" applyNumberFormat="1" applyFont="1" applyFill="1" applyBorder="1" applyAlignment="1">
      <alignment horizontal="left" vertical="center" wrapText="1"/>
    </xf>
    <xf numFmtId="0" fontId="6" fillId="16" borderId="1" xfId="4" applyFont="1" applyFill="1" applyBorder="1" applyAlignment="1">
      <alignment horizontal="left" vertical="center" wrapText="1"/>
    </xf>
    <xf numFmtId="0" fontId="6" fillId="16" borderId="2" xfId="4" applyFont="1" applyFill="1" applyBorder="1" applyAlignment="1">
      <alignment horizontal="left" vertical="center" wrapText="1"/>
    </xf>
    <xf numFmtId="0" fontId="6" fillId="16" borderId="3" xfId="4" applyFont="1" applyFill="1" applyBorder="1" applyAlignment="1">
      <alignment horizontal="left" vertical="center" wrapText="1"/>
    </xf>
    <xf numFmtId="0" fontId="19" fillId="23" borderId="4" xfId="5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21" fillId="15" borderId="4" xfId="1" applyFont="1" applyFill="1" applyBorder="1" applyAlignment="1">
      <alignment horizontal="center" vertical="center" wrapText="1"/>
    </xf>
    <xf numFmtId="49" fontId="22" fillId="19" borderId="4" xfId="7" applyNumberFormat="1" applyFont="1" applyFill="1" applyBorder="1" applyAlignment="1">
      <alignment horizontal="center" vertical="center" wrapText="1"/>
    </xf>
    <xf numFmtId="0" fontId="7" fillId="21" borderId="14" xfId="6" applyFont="1" applyFill="1" applyBorder="1" applyAlignment="1">
      <alignment vertical="top" wrapText="1"/>
    </xf>
    <xf numFmtId="0" fontId="7" fillId="21" borderId="0" xfId="6" applyFont="1" applyFill="1" applyBorder="1" applyAlignment="1">
      <alignment vertical="top" wrapText="1"/>
    </xf>
    <xf numFmtId="0" fontId="7" fillId="21" borderId="15" xfId="6" applyFont="1" applyFill="1" applyBorder="1" applyAlignment="1">
      <alignment vertical="top" wrapText="1"/>
    </xf>
    <xf numFmtId="0" fontId="7" fillId="21" borderId="11" xfId="6" applyFont="1" applyFill="1" applyBorder="1" applyAlignment="1">
      <alignment vertical="top" wrapText="1"/>
    </xf>
    <xf numFmtId="0" fontId="7" fillId="21" borderId="12" xfId="6" applyFont="1" applyFill="1" applyBorder="1" applyAlignment="1">
      <alignment vertical="top" wrapText="1"/>
    </xf>
    <xf numFmtId="0" fontId="7" fillId="21" borderId="13" xfId="6" applyFont="1" applyFill="1" applyBorder="1" applyAlignment="1">
      <alignment vertical="top" wrapText="1"/>
    </xf>
    <xf numFmtId="0" fontId="7" fillId="20" borderId="14" xfId="7" applyFont="1" applyFill="1" applyBorder="1" applyAlignment="1">
      <alignment vertical="top" wrapText="1"/>
    </xf>
    <xf numFmtId="0" fontId="7" fillId="20" borderId="0" xfId="7" applyFont="1" applyFill="1" applyBorder="1" applyAlignment="1">
      <alignment vertical="top" wrapText="1"/>
    </xf>
    <xf numFmtId="0" fontId="7" fillId="20" borderId="15" xfId="7" applyFont="1" applyFill="1" applyBorder="1" applyAlignment="1">
      <alignment vertical="top" wrapText="1"/>
    </xf>
    <xf numFmtId="0" fontId="7" fillId="20" borderId="11" xfId="7" applyFont="1" applyFill="1" applyBorder="1" applyAlignment="1">
      <alignment vertical="top" wrapText="1"/>
    </xf>
    <xf numFmtId="0" fontId="7" fillId="20" borderId="12" xfId="7" applyFont="1" applyFill="1" applyBorder="1" applyAlignment="1">
      <alignment vertical="top" wrapText="1"/>
    </xf>
    <xf numFmtId="0" fontId="7" fillId="20" borderId="13" xfId="7" applyFont="1" applyFill="1" applyBorder="1" applyAlignment="1">
      <alignment vertical="top" wrapText="1"/>
    </xf>
    <xf numFmtId="183" fontId="5" fillId="19" borderId="1" xfId="7" applyNumberFormat="1" applyFont="1" applyFill="1" applyBorder="1" applyAlignment="1">
      <alignment horizontal="center" vertical="center" wrapText="1"/>
    </xf>
    <xf numFmtId="183" fontId="5" fillId="19" borderId="2" xfId="7" applyNumberFormat="1" applyFont="1" applyFill="1" applyBorder="1" applyAlignment="1">
      <alignment horizontal="center" vertical="center" wrapText="1"/>
    </xf>
    <xf numFmtId="183" fontId="5" fillId="19" borderId="3" xfId="7" applyNumberFormat="1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5" fillId="22" borderId="4" xfId="0" applyFont="1" applyFill="1" applyBorder="1" applyAlignment="1">
      <alignment horizontal="center" vertical="center"/>
    </xf>
    <xf numFmtId="0" fontId="6" fillId="22" borderId="4" xfId="0" applyFont="1" applyFill="1" applyBorder="1" applyAlignment="1">
      <alignment horizontal="left" vertical="center"/>
    </xf>
    <xf numFmtId="0" fontId="21" fillId="15" borderId="4" xfId="1" applyFont="1" applyFill="1" applyBorder="1" applyAlignment="1">
      <alignment horizontal="left" vertical="center" wrapText="1"/>
    </xf>
    <xf numFmtId="0" fontId="19" fillId="17" borderId="4" xfId="5" applyFont="1" applyFill="1" applyBorder="1" applyAlignment="1">
      <alignment horizontal="center" vertical="center" wrapText="1"/>
    </xf>
    <xf numFmtId="0" fontId="5" fillId="25" borderId="4" xfId="2" applyFont="1" applyFill="1" applyBorder="1" applyAlignment="1">
      <alignment horizontal="left" vertical="center" wrapText="1"/>
    </xf>
    <xf numFmtId="0" fontId="5" fillId="24" borderId="4" xfId="3" applyFont="1" applyFill="1" applyBorder="1" applyAlignment="1">
      <alignment horizontal="left" vertical="center" wrapText="1"/>
    </xf>
    <xf numFmtId="0" fontId="5" fillId="16" borderId="4" xfId="4" applyFont="1" applyFill="1" applyBorder="1" applyAlignment="1">
      <alignment horizontal="left" vertical="center" wrapText="1"/>
    </xf>
    <xf numFmtId="0" fontId="25" fillId="4" borderId="7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87" fontId="14" fillId="21" borderId="4" xfId="0" applyNumberFormat="1" applyFont="1" applyFill="1" applyBorder="1" applyAlignment="1">
      <alignment horizontal="left" vertical="center" wrapText="1"/>
    </xf>
    <xf numFmtId="0" fontId="5" fillId="20" borderId="7" xfId="7" applyFont="1" applyFill="1" applyBorder="1" applyAlignment="1">
      <alignment horizontal="left" vertical="center" wrapText="1"/>
    </xf>
    <xf numFmtId="0" fontId="5" fillId="20" borderId="8" xfId="7" applyFont="1" applyFill="1" applyBorder="1" applyAlignment="1">
      <alignment horizontal="left" vertical="center" wrapText="1"/>
    </xf>
    <xf numFmtId="0" fontId="5" fillId="20" borderId="9" xfId="7" applyFont="1" applyFill="1" applyBorder="1" applyAlignment="1">
      <alignment horizontal="left" vertical="center" wrapText="1"/>
    </xf>
    <xf numFmtId="0" fontId="5" fillId="20" borderId="14" xfId="7" applyFont="1" applyFill="1" applyBorder="1" applyAlignment="1">
      <alignment horizontal="left" vertical="center" wrapText="1"/>
    </xf>
    <xf numFmtId="0" fontId="5" fillId="20" borderId="0" xfId="7" applyFont="1" applyFill="1" applyBorder="1" applyAlignment="1">
      <alignment horizontal="left" vertical="center" wrapText="1"/>
    </xf>
    <xf numFmtId="0" fontId="5" fillId="20" borderId="15" xfId="7" applyFont="1" applyFill="1" applyBorder="1" applyAlignment="1">
      <alignment horizontal="left" vertical="center" wrapText="1"/>
    </xf>
    <xf numFmtId="0" fontId="5" fillId="20" borderId="11" xfId="7" applyFont="1" applyFill="1" applyBorder="1" applyAlignment="1">
      <alignment horizontal="left" vertical="center" wrapText="1"/>
    </xf>
    <xf numFmtId="0" fontId="5" fillId="20" borderId="12" xfId="7" applyFont="1" applyFill="1" applyBorder="1" applyAlignment="1">
      <alignment horizontal="left" vertical="center" wrapText="1"/>
    </xf>
    <xf numFmtId="0" fontId="5" fillId="20" borderId="13" xfId="7" applyFont="1" applyFill="1" applyBorder="1" applyAlignment="1">
      <alignment horizontal="left" vertical="center" wrapText="1"/>
    </xf>
    <xf numFmtId="192" fontId="22" fillId="19" borderId="2" xfId="7" applyNumberFormat="1" applyFont="1" applyFill="1" applyBorder="1" applyAlignment="1">
      <alignment horizontal="left" vertical="center" wrapText="1"/>
    </xf>
    <xf numFmtId="192" fontId="22" fillId="19" borderId="3" xfId="7" applyNumberFormat="1" applyFont="1" applyFill="1" applyBorder="1" applyAlignment="1">
      <alignment horizontal="left" vertical="center" wrapText="1"/>
    </xf>
    <xf numFmtId="187" fontId="14" fillId="19" borderId="4" xfId="0" applyNumberFormat="1" applyFont="1" applyFill="1" applyBorder="1" applyAlignment="1">
      <alignment horizontal="left" vertical="center" wrapText="1"/>
    </xf>
    <xf numFmtId="49" fontId="23" fillId="19" borderId="14" xfId="6" applyNumberFormat="1" applyFont="1" applyFill="1" applyBorder="1" applyAlignment="1">
      <alignment horizontal="left" vertical="center" wrapText="1"/>
    </xf>
    <xf numFmtId="49" fontId="23" fillId="19" borderId="0" xfId="6" applyNumberFormat="1" applyFont="1" applyFill="1" applyBorder="1" applyAlignment="1">
      <alignment horizontal="left" vertical="center" wrapText="1"/>
    </xf>
    <xf numFmtId="49" fontId="23" fillId="19" borderId="15" xfId="6" applyNumberFormat="1" applyFont="1" applyFill="1" applyBorder="1" applyAlignment="1">
      <alignment horizontal="left" vertical="center" wrapText="1"/>
    </xf>
    <xf numFmtId="49" fontId="23" fillId="19" borderId="11" xfId="6" applyNumberFormat="1" applyFont="1" applyFill="1" applyBorder="1" applyAlignment="1">
      <alignment horizontal="left" vertical="center" wrapText="1"/>
    </xf>
    <xf numFmtId="49" fontId="23" fillId="19" borderId="12" xfId="6" applyNumberFormat="1" applyFont="1" applyFill="1" applyBorder="1" applyAlignment="1">
      <alignment horizontal="left" vertical="center" wrapText="1"/>
    </xf>
    <xf numFmtId="49" fontId="23" fillId="19" borderId="13" xfId="6" applyNumberFormat="1" applyFont="1" applyFill="1" applyBorder="1" applyAlignment="1">
      <alignment horizontal="left" vertical="center" wrapText="1"/>
    </xf>
    <xf numFmtId="211" fontId="5" fillId="21" borderId="1" xfId="6" applyNumberFormat="1" applyFont="1" applyFill="1" applyBorder="1" applyAlignment="1">
      <alignment horizontal="center" vertical="center" wrapText="1"/>
    </xf>
    <xf numFmtId="211" fontId="5" fillId="21" borderId="2" xfId="6" applyNumberFormat="1" applyFont="1" applyFill="1" applyBorder="1" applyAlignment="1">
      <alignment horizontal="center" vertical="center" wrapText="1"/>
    </xf>
    <xf numFmtId="211" fontId="5" fillId="21" borderId="3" xfId="6" applyNumberFormat="1" applyFont="1" applyFill="1" applyBorder="1" applyAlignment="1">
      <alignment horizontal="center" vertical="center" wrapText="1"/>
    </xf>
    <xf numFmtId="183" fontId="5" fillId="21" borderId="1" xfId="6" applyNumberFormat="1" applyFont="1" applyFill="1" applyBorder="1" applyAlignment="1">
      <alignment horizontal="center" vertical="center" wrapText="1"/>
    </xf>
    <xf numFmtId="183" fontId="5" fillId="21" borderId="2" xfId="6" applyNumberFormat="1" applyFont="1" applyFill="1" applyBorder="1" applyAlignment="1">
      <alignment horizontal="center" vertical="center" wrapText="1"/>
    </xf>
    <xf numFmtId="183" fontId="5" fillId="21" borderId="3" xfId="6" applyNumberFormat="1" applyFont="1" applyFill="1" applyBorder="1" applyAlignment="1">
      <alignment horizontal="center" vertical="center" wrapText="1"/>
    </xf>
    <xf numFmtId="0" fontId="23" fillId="19" borderId="8" xfId="7" applyFont="1" applyFill="1" applyBorder="1" applyAlignment="1">
      <alignment horizontal="left" vertical="center" wrapText="1"/>
    </xf>
    <xf numFmtId="0" fontId="23" fillId="19" borderId="9" xfId="7" applyFont="1" applyFill="1" applyBorder="1" applyAlignment="1">
      <alignment horizontal="left" vertical="center" wrapText="1"/>
    </xf>
    <xf numFmtId="0" fontId="23" fillId="19" borderId="0" xfId="7" applyFont="1" applyFill="1" applyBorder="1" applyAlignment="1">
      <alignment horizontal="left" vertical="center" wrapText="1"/>
    </xf>
    <xf numFmtId="0" fontId="23" fillId="19" borderId="15" xfId="7" applyFont="1" applyFill="1" applyBorder="1" applyAlignment="1">
      <alignment horizontal="left" vertical="center" wrapText="1"/>
    </xf>
    <xf numFmtId="0" fontId="23" fillId="19" borderId="11" xfId="7" applyFont="1" applyFill="1" applyBorder="1" applyAlignment="1">
      <alignment horizontal="left" vertical="center" wrapText="1"/>
    </xf>
    <xf numFmtId="0" fontId="23" fillId="19" borderId="12" xfId="7" applyFont="1" applyFill="1" applyBorder="1" applyAlignment="1">
      <alignment horizontal="left" vertical="center" wrapText="1"/>
    </xf>
    <xf numFmtId="0" fontId="23" fillId="19" borderId="13" xfId="7" applyFont="1" applyFill="1" applyBorder="1" applyAlignment="1">
      <alignment horizontal="left" vertical="center" wrapText="1"/>
    </xf>
    <xf numFmtId="189" fontId="22" fillId="18" borderId="4" xfId="8" applyNumberFormat="1" applyFont="1" applyFill="1" applyBorder="1" applyAlignment="1">
      <alignment horizontal="left" vertical="center" wrapText="1"/>
    </xf>
    <xf numFmtId="0" fontId="21" fillId="17" borderId="4" xfId="5" applyFont="1" applyFill="1" applyBorder="1" applyAlignment="1">
      <alignment horizontal="center" vertical="center" wrapText="1"/>
    </xf>
    <xf numFmtId="195" fontId="5" fillId="18" borderId="12" xfId="8" applyNumberFormat="1" applyFont="1" applyFill="1" applyBorder="1" applyAlignment="1">
      <alignment horizontal="center" vertical="center" wrapText="1"/>
    </xf>
    <xf numFmtId="195" fontId="5" fillId="18" borderId="13" xfId="8" applyNumberFormat="1" applyFont="1" applyFill="1" applyBorder="1" applyAlignment="1">
      <alignment horizontal="center" vertical="center" wrapText="1"/>
    </xf>
    <xf numFmtId="183" fontId="5" fillId="18" borderId="11" xfId="8" applyNumberFormat="1" applyFont="1" applyFill="1" applyBorder="1" applyAlignment="1">
      <alignment horizontal="center" vertical="center" wrapText="1"/>
    </xf>
    <xf numFmtId="183" fontId="5" fillId="18" borderId="12" xfId="8" applyNumberFormat="1" applyFont="1" applyFill="1" applyBorder="1" applyAlignment="1">
      <alignment horizontal="center" vertical="center" wrapText="1"/>
    </xf>
    <xf numFmtId="183" fontId="5" fillId="18" borderId="13" xfId="8" applyNumberFormat="1" applyFont="1" applyFill="1" applyBorder="1" applyAlignment="1">
      <alignment horizontal="center" vertical="center" wrapText="1"/>
    </xf>
    <xf numFmtId="184" fontId="22" fillId="18" borderId="12" xfId="8" applyNumberFormat="1" applyFont="1" applyFill="1" applyBorder="1" applyAlignment="1">
      <alignment horizontal="left" vertical="center" wrapText="1"/>
    </xf>
    <xf numFmtId="184" fontId="22" fillId="18" borderId="13" xfId="8" applyNumberFormat="1" applyFont="1" applyFill="1" applyBorder="1" applyAlignment="1">
      <alignment horizontal="left" vertical="center" wrapText="1"/>
    </xf>
    <xf numFmtId="181" fontId="6" fillId="16" borderId="5" xfId="4" applyNumberFormat="1" applyFont="1" applyFill="1" applyBorder="1" applyAlignment="1">
      <alignment horizontal="center" vertical="center" wrapText="1"/>
    </xf>
    <xf numFmtId="181" fontId="6" fillId="16" borderId="10" xfId="4" applyNumberFormat="1" applyFont="1" applyFill="1" applyBorder="1" applyAlignment="1">
      <alignment horizontal="center" vertical="center" wrapText="1"/>
    </xf>
    <xf numFmtId="177" fontId="17" fillId="16" borderId="1" xfId="4" applyNumberFormat="1" applyFont="1" applyFill="1" applyBorder="1" applyAlignment="1">
      <alignment horizontal="center" vertical="center" wrapText="1"/>
    </xf>
    <xf numFmtId="177" fontId="17" fillId="16" borderId="3" xfId="4" applyNumberFormat="1" applyFont="1" applyFill="1" applyBorder="1" applyAlignment="1">
      <alignment horizontal="center" vertical="center" wrapText="1"/>
    </xf>
    <xf numFmtId="0" fontId="5" fillId="16" borderId="4" xfId="4" applyFont="1" applyFill="1" applyBorder="1" applyAlignment="1">
      <alignment horizontal="center" vertical="center" wrapText="1"/>
    </xf>
    <xf numFmtId="177" fontId="7" fillId="16" borderId="1" xfId="4" applyNumberFormat="1" applyFont="1" applyFill="1" applyBorder="1" applyAlignment="1">
      <alignment horizontal="left" vertical="center" wrapText="1"/>
    </xf>
    <xf numFmtId="177" fontId="7" fillId="16" borderId="2" xfId="4" applyNumberFormat="1" applyFont="1" applyFill="1" applyBorder="1" applyAlignment="1">
      <alignment horizontal="left" vertical="center" wrapText="1"/>
    </xf>
    <xf numFmtId="177" fontId="7" fillId="16" borderId="3" xfId="4" applyNumberFormat="1" applyFont="1" applyFill="1" applyBorder="1" applyAlignment="1">
      <alignment horizontal="left" vertical="center" wrapText="1"/>
    </xf>
    <xf numFmtId="176" fontId="7" fillId="16" borderId="4" xfId="4" applyNumberFormat="1" applyFont="1" applyFill="1" applyBorder="1" applyAlignment="1">
      <alignment horizontal="center" vertical="center" wrapText="1"/>
    </xf>
    <xf numFmtId="167" fontId="6" fillId="16" borderId="1" xfId="4" applyNumberFormat="1" applyFont="1" applyFill="1" applyBorder="1" applyAlignment="1">
      <alignment horizontal="left" vertical="center" wrapText="1"/>
    </xf>
    <xf numFmtId="167" fontId="6" fillId="16" borderId="2" xfId="4" applyNumberFormat="1" applyFont="1" applyFill="1" applyBorder="1" applyAlignment="1">
      <alignment horizontal="left" vertical="center" wrapText="1"/>
    </xf>
    <xf numFmtId="167" fontId="6" fillId="16" borderId="3" xfId="4" applyNumberFormat="1" applyFont="1" applyFill="1" applyBorder="1" applyAlignment="1">
      <alignment horizontal="left" vertical="center" wrapText="1"/>
    </xf>
    <xf numFmtId="208" fontId="6" fillId="16" borderId="1" xfId="4" applyNumberFormat="1" applyFont="1" applyFill="1" applyBorder="1" applyAlignment="1">
      <alignment horizontal="left" vertical="center" wrapText="1"/>
    </xf>
    <xf numFmtId="208" fontId="6" fillId="16" borderId="2" xfId="4" applyNumberFormat="1" applyFont="1" applyFill="1" applyBorder="1" applyAlignment="1">
      <alignment horizontal="left" vertical="center" wrapText="1"/>
    </xf>
    <xf numFmtId="208" fontId="6" fillId="16" borderId="3" xfId="4" applyNumberFormat="1" applyFont="1" applyFill="1" applyBorder="1" applyAlignment="1">
      <alignment horizontal="left" vertical="center" wrapText="1"/>
    </xf>
    <xf numFmtId="169" fontId="6" fillId="16" borderId="1" xfId="4" applyNumberFormat="1" applyFont="1" applyFill="1" applyBorder="1" applyAlignment="1">
      <alignment horizontal="left" vertical="center" wrapText="1"/>
    </xf>
    <xf numFmtId="169" fontId="6" fillId="16" borderId="2" xfId="4" applyNumberFormat="1" applyFont="1" applyFill="1" applyBorder="1" applyAlignment="1">
      <alignment horizontal="left" vertical="center" wrapText="1"/>
    </xf>
    <xf numFmtId="169" fontId="6" fillId="16" borderId="3" xfId="4" applyNumberFormat="1" applyFont="1" applyFill="1" applyBorder="1" applyAlignment="1">
      <alignment horizontal="left" vertical="center" wrapText="1"/>
    </xf>
    <xf numFmtId="177" fontId="17" fillId="16" borderId="1" xfId="4" applyNumberFormat="1" applyFont="1" applyFill="1" applyBorder="1" applyAlignment="1">
      <alignment horizontal="left" vertical="center" wrapText="1"/>
    </xf>
    <xf numFmtId="177" fontId="17" fillId="16" borderId="2" xfId="4" applyNumberFormat="1" applyFont="1" applyFill="1" applyBorder="1" applyAlignment="1">
      <alignment horizontal="left" vertical="center" wrapText="1"/>
    </xf>
    <xf numFmtId="177" fontId="17" fillId="16" borderId="3" xfId="4" applyNumberFormat="1" applyFont="1" applyFill="1" applyBorder="1" applyAlignment="1">
      <alignment horizontal="left" vertical="center" wrapText="1"/>
    </xf>
    <xf numFmtId="0" fontId="6" fillId="16" borderId="2" xfId="4" applyFont="1" applyFill="1" applyBorder="1" applyAlignment="1">
      <alignment horizontal="center" vertical="center" wrapText="1"/>
    </xf>
    <xf numFmtId="178" fontId="7" fillId="16" borderId="1" xfId="4" applyNumberFormat="1" applyFont="1" applyFill="1" applyBorder="1" applyAlignment="1">
      <alignment horizontal="right" vertical="center" wrapText="1"/>
    </xf>
    <xf numFmtId="178" fontId="7" fillId="16" borderId="2" xfId="4" applyNumberFormat="1" applyFont="1" applyFill="1" applyBorder="1" applyAlignment="1">
      <alignment horizontal="right" vertical="center" wrapText="1"/>
    </xf>
    <xf numFmtId="0" fontId="7" fillId="20" borderId="6" xfId="7" applyFont="1" applyFill="1" applyBorder="1" applyAlignment="1">
      <alignment horizontal="left" vertical="center" wrapText="1"/>
    </xf>
    <xf numFmtId="0" fontId="23" fillId="19" borderId="6" xfId="7" applyFont="1" applyFill="1" applyBorder="1" applyAlignment="1">
      <alignment horizontal="left" vertical="center" wrapText="1"/>
    </xf>
    <xf numFmtId="0" fontId="5" fillId="18" borderId="7" xfId="8" applyFont="1" applyFill="1" applyBorder="1" applyAlignment="1">
      <alignment horizontal="left" wrapText="1"/>
    </xf>
    <xf numFmtId="0" fontId="5" fillId="18" borderId="8" xfId="8" applyFont="1" applyFill="1" applyBorder="1" applyAlignment="1">
      <alignment horizontal="left" wrapText="1"/>
    </xf>
    <xf numFmtId="0" fontId="5" fillId="18" borderId="9" xfId="8" applyFont="1" applyFill="1" applyBorder="1" applyAlignment="1">
      <alignment horizontal="left" wrapText="1"/>
    </xf>
    <xf numFmtId="0" fontId="5" fillId="18" borderId="14" xfId="8" applyFont="1" applyFill="1" applyBorder="1" applyAlignment="1">
      <alignment horizontal="left" wrapText="1"/>
    </xf>
    <xf numFmtId="0" fontId="5" fillId="18" borderId="0" xfId="8" applyFont="1" applyFill="1" applyBorder="1" applyAlignment="1">
      <alignment horizontal="left" wrapText="1"/>
    </xf>
    <xf numFmtId="0" fontId="5" fillId="18" borderId="15" xfId="8" applyFont="1" applyFill="1" applyBorder="1" applyAlignment="1">
      <alignment horizontal="left" wrapText="1"/>
    </xf>
    <xf numFmtId="0" fontId="7" fillId="19" borderId="6" xfId="7" applyFont="1" applyFill="1" applyBorder="1" applyAlignment="1">
      <alignment horizontal="left" vertical="center" wrapText="1"/>
    </xf>
    <xf numFmtId="210" fontId="52" fillId="19" borderId="1" xfId="7" applyNumberFormat="1" applyFont="1" applyFill="1" applyBorder="1" applyAlignment="1">
      <alignment horizontal="center" vertical="center" wrapText="1"/>
    </xf>
    <xf numFmtId="210" fontId="52" fillId="19" borderId="2" xfId="7" applyNumberFormat="1" applyFont="1" applyFill="1" applyBorder="1" applyAlignment="1">
      <alignment horizontal="center" vertical="center" wrapText="1"/>
    </xf>
    <xf numFmtId="210" fontId="52" fillId="19" borderId="3" xfId="7" applyNumberFormat="1" applyFont="1" applyFill="1" applyBorder="1" applyAlignment="1">
      <alignment horizontal="center" vertical="center" wrapText="1"/>
    </xf>
    <xf numFmtId="205" fontId="52" fillId="19" borderId="1" xfId="7" applyNumberFormat="1" applyFont="1" applyFill="1" applyBorder="1" applyAlignment="1">
      <alignment horizontal="center" vertical="center" wrapText="1"/>
    </xf>
    <xf numFmtId="205" fontId="52" fillId="19" borderId="2" xfId="7" applyNumberFormat="1" applyFont="1" applyFill="1" applyBorder="1" applyAlignment="1">
      <alignment horizontal="center" vertical="center" wrapText="1"/>
    </xf>
    <xf numFmtId="205" fontId="52" fillId="19" borderId="3" xfId="7" applyNumberFormat="1" applyFont="1" applyFill="1" applyBorder="1" applyAlignment="1">
      <alignment horizontal="center" vertical="center" wrapText="1"/>
    </xf>
    <xf numFmtId="189" fontId="22" fillId="19" borderId="2" xfId="7" applyNumberFormat="1" applyFont="1" applyFill="1" applyBorder="1" applyAlignment="1">
      <alignment horizontal="left" vertical="center" wrapText="1"/>
    </xf>
    <xf numFmtId="189" fontId="22" fillId="19" borderId="3" xfId="7" applyNumberFormat="1" applyFont="1" applyFill="1" applyBorder="1" applyAlignment="1">
      <alignment horizontal="left" vertical="center" wrapText="1"/>
    </xf>
    <xf numFmtId="0" fontId="7" fillId="18" borderId="14" xfId="8" applyFont="1" applyFill="1" applyBorder="1" applyAlignment="1">
      <alignment horizontal="left" vertical="top" wrapText="1"/>
    </xf>
    <xf numFmtId="0" fontId="7" fillId="18" borderId="0" xfId="8" applyFont="1" applyFill="1" applyBorder="1" applyAlignment="1">
      <alignment horizontal="left" vertical="top" wrapText="1"/>
    </xf>
    <xf numFmtId="0" fontId="7" fillId="18" borderId="15" xfId="8" applyFont="1" applyFill="1" applyBorder="1" applyAlignment="1">
      <alignment horizontal="left" vertical="top" wrapText="1"/>
    </xf>
    <xf numFmtId="0" fontId="7" fillId="18" borderId="11" xfId="8" applyFont="1" applyFill="1" applyBorder="1" applyAlignment="1">
      <alignment horizontal="left" vertical="top" wrapText="1"/>
    </xf>
    <xf numFmtId="0" fontId="7" fillId="18" borderId="12" xfId="8" applyFont="1" applyFill="1" applyBorder="1" applyAlignment="1">
      <alignment horizontal="left" vertical="top" wrapText="1"/>
    </xf>
    <xf numFmtId="0" fontId="7" fillId="18" borderId="13" xfId="8" applyFont="1" applyFill="1" applyBorder="1" applyAlignment="1">
      <alignment horizontal="left" vertical="top" wrapText="1"/>
    </xf>
    <xf numFmtId="0" fontId="17" fillId="20" borderId="6" xfId="7" applyFont="1" applyFill="1" applyBorder="1" applyAlignment="1">
      <alignment horizontal="left" vertical="center" wrapText="1"/>
    </xf>
    <xf numFmtId="211" fontId="52" fillId="19" borderId="1" xfId="7" applyNumberFormat="1" applyFont="1" applyFill="1" applyBorder="1" applyAlignment="1">
      <alignment horizontal="center" vertical="center" wrapText="1"/>
    </xf>
    <xf numFmtId="211" fontId="52" fillId="19" borderId="2" xfId="7" applyNumberFormat="1" applyFont="1" applyFill="1" applyBorder="1" applyAlignment="1">
      <alignment horizontal="center" vertical="center" wrapText="1"/>
    </xf>
    <xf numFmtId="211" fontId="52" fillId="19" borderId="3" xfId="7" applyNumberFormat="1" applyFont="1" applyFill="1" applyBorder="1" applyAlignment="1">
      <alignment horizontal="center" vertical="center" wrapText="1"/>
    </xf>
    <xf numFmtId="0" fontId="23" fillId="19" borderId="7" xfId="7" applyFont="1" applyFill="1" applyBorder="1" applyAlignment="1">
      <alignment vertical="center" wrapText="1"/>
    </xf>
    <xf numFmtId="0" fontId="23" fillId="19" borderId="8" xfId="7" applyFont="1" applyFill="1" applyBorder="1" applyAlignment="1">
      <alignment vertical="center" wrapText="1"/>
    </xf>
    <xf numFmtId="0" fontId="23" fillId="19" borderId="9" xfId="7" applyFont="1" applyFill="1" applyBorder="1" applyAlignment="1">
      <alignment vertical="center" wrapText="1"/>
    </xf>
    <xf numFmtId="0" fontId="23" fillId="19" borderId="14" xfId="7" applyFont="1" applyFill="1" applyBorder="1" applyAlignment="1">
      <alignment vertical="center" wrapText="1"/>
    </xf>
    <xf numFmtId="0" fontId="23" fillId="19" borderId="0" xfId="7" applyFont="1" applyFill="1" applyBorder="1" applyAlignment="1">
      <alignment vertical="center" wrapText="1"/>
    </xf>
    <xf numFmtId="0" fontId="23" fillId="19" borderId="15" xfId="7" applyFont="1" applyFill="1" applyBorder="1" applyAlignment="1">
      <alignment vertical="center" wrapText="1"/>
    </xf>
    <xf numFmtId="0" fontId="23" fillId="19" borderId="11" xfId="7" applyFont="1" applyFill="1" applyBorder="1" applyAlignment="1">
      <alignment vertical="center" wrapText="1"/>
    </xf>
    <xf numFmtId="0" fontId="23" fillId="19" borderId="12" xfId="7" applyFont="1" applyFill="1" applyBorder="1" applyAlignment="1">
      <alignment vertical="center" wrapText="1"/>
    </xf>
    <xf numFmtId="0" fontId="23" fillId="19" borderId="13" xfId="7" applyFont="1" applyFill="1" applyBorder="1" applyAlignment="1">
      <alignment vertical="center" wrapText="1"/>
    </xf>
    <xf numFmtId="194" fontId="22" fillId="19" borderId="2" xfId="7" applyNumberFormat="1" applyFont="1" applyFill="1" applyBorder="1" applyAlignment="1">
      <alignment horizontal="left" vertical="center" wrapText="1"/>
    </xf>
    <xf numFmtId="194" fontId="22" fillId="19" borderId="3" xfId="7" applyNumberFormat="1" applyFont="1" applyFill="1" applyBorder="1" applyAlignment="1">
      <alignment horizontal="left" vertical="center" wrapText="1"/>
    </xf>
    <xf numFmtId="0" fontId="23" fillId="20" borderId="10" xfId="7" applyFont="1" applyFill="1" applyBorder="1" applyAlignment="1">
      <alignment horizontal="left" vertical="center" wrapText="1"/>
    </xf>
    <xf numFmtId="197" fontId="29" fillId="17" borderId="1" xfId="5" applyNumberFormat="1" applyFont="1" applyFill="1" applyBorder="1" applyAlignment="1">
      <alignment horizontal="center" vertical="center" wrapText="1"/>
    </xf>
    <xf numFmtId="197" fontId="29" fillId="17" borderId="2" xfId="5" applyNumberFormat="1" applyFont="1" applyFill="1" applyBorder="1" applyAlignment="1">
      <alignment horizontal="center" vertical="center" wrapText="1"/>
    </xf>
    <xf numFmtId="197" fontId="29" fillId="17" borderId="3" xfId="5" applyNumberFormat="1" applyFont="1" applyFill="1" applyBorder="1" applyAlignment="1">
      <alignment horizontal="center" vertical="center" wrapText="1"/>
    </xf>
    <xf numFmtId="198" fontId="29" fillId="17" borderId="1" xfId="5" applyNumberFormat="1" applyFont="1" applyFill="1" applyBorder="1" applyAlignment="1">
      <alignment horizontal="center" vertical="center" wrapText="1"/>
    </xf>
    <xf numFmtId="198" fontId="29" fillId="17" borderId="2" xfId="5" applyNumberFormat="1" applyFont="1" applyFill="1" applyBorder="1" applyAlignment="1">
      <alignment horizontal="center" vertical="center" wrapText="1"/>
    </xf>
    <xf numFmtId="198" fontId="29" fillId="17" borderId="3" xfId="5" applyNumberFormat="1" applyFont="1" applyFill="1" applyBorder="1" applyAlignment="1">
      <alignment horizontal="center" vertical="center" wrapText="1"/>
    </xf>
    <xf numFmtId="49" fontId="38" fillId="18" borderId="8" xfId="8" applyNumberFormat="1" applyFont="1" applyFill="1" applyBorder="1" applyAlignment="1">
      <alignment horizontal="center" vertical="center" wrapText="1"/>
    </xf>
    <xf numFmtId="49" fontId="38" fillId="18" borderId="9" xfId="8" applyNumberFormat="1" applyFont="1" applyFill="1" applyBorder="1" applyAlignment="1">
      <alignment horizontal="center" vertical="center" wrapText="1"/>
    </xf>
    <xf numFmtId="49" fontId="38" fillId="18" borderId="11" xfId="8" applyNumberFormat="1" applyFont="1" applyFill="1" applyBorder="1" applyAlignment="1">
      <alignment horizontal="center" vertical="center" wrapText="1"/>
    </xf>
    <xf numFmtId="49" fontId="38" fillId="18" borderId="12" xfId="8" applyNumberFormat="1" applyFont="1" applyFill="1" applyBorder="1" applyAlignment="1">
      <alignment horizontal="center" vertical="center" wrapText="1"/>
    </xf>
    <xf numFmtId="49" fontId="38" fillId="18" borderId="13" xfId="8" applyNumberFormat="1" applyFont="1" applyFill="1" applyBorder="1" applyAlignment="1">
      <alignment horizontal="center" vertical="center" wrapText="1"/>
    </xf>
    <xf numFmtId="0" fontId="23" fillId="22" borderId="0" xfId="0" applyFont="1" applyFill="1" applyAlignment="1">
      <alignment vertical="top" wrapText="1"/>
    </xf>
    <xf numFmtId="0" fontId="23" fillId="22" borderId="15" xfId="0" applyFont="1" applyFill="1" applyBorder="1" applyAlignment="1">
      <alignment vertical="top" wrapText="1"/>
    </xf>
    <xf numFmtId="0" fontId="23" fillId="22" borderId="11" xfId="0" applyFont="1" applyFill="1" applyBorder="1" applyAlignment="1">
      <alignment vertical="top" wrapText="1"/>
    </xf>
    <xf numFmtId="0" fontId="23" fillId="22" borderId="12" xfId="0" applyFont="1" applyFill="1" applyBorder="1" applyAlignment="1">
      <alignment vertical="top" wrapText="1"/>
    </xf>
    <xf numFmtId="0" fontId="23" fillId="22" borderId="13" xfId="0" applyFont="1" applyFill="1" applyBorder="1" applyAlignment="1">
      <alignment vertical="top" wrapText="1"/>
    </xf>
    <xf numFmtId="0" fontId="29" fillId="15" borderId="1" xfId="1" applyFont="1" applyFill="1" applyBorder="1" applyAlignment="1">
      <alignment horizontal="center" vertical="center" wrapText="1"/>
    </xf>
    <xf numFmtId="0" fontId="29" fillId="15" borderId="2" xfId="1" applyFont="1" applyFill="1" applyBorder="1" applyAlignment="1">
      <alignment horizontal="center" vertical="center" wrapText="1"/>
    </xf>
    <xf numFmtId="0" fontId="29" fillId="15" borderId="3" xfId="1" applyFont="1" applyFill="1" applyBorder="1" applyAlignment="1">
      <alignment horizontal="center" vertical="center" wrapText="1"/>
    </xf>
    <xf numFmtId="49" fontId="38" fillId="27" borderId="8" xfId="8" applyNumberFormat="1" applyFont="1" applyFill="1" applyBorder="1" applyAlignment="1">
      <alignment horizontal="center" vertical="center" wrapText="1"/>
    </xf>
    <xf numFmtId="49" fontId="38" fillId="27" borderId="9" xfId="8" applyNumberFormat="1" applyFont="1" applyFill="1" applyBorder="1" applyAlignment="1">
      <alignment horizontal="center" vertical="center" wrapText="1"/>
    </xf>
    <xf numFmtId="49" fontId="38" fillId="27" borderId="11" xfId="8" applyNumberFormat="1" applyFont="1" applyFill="1" applyBorder="1" applyAlignment="1">
      <alignment horizontal="center" vertical="center" wrapText="1"/>
    </xf>
    <xf numFmtId="49" fontId="38" fillId="27" borderId="12" xfId="8" applyNumberFormat="1" applyFont="1" applyFill="1" applyBorder="1" applyAlignment="1">
      <alignment horizontal="center" vertical="center" wrapText="1"/>
    </xf>
    <xf numFmtId="49" fontId="38" fillId="27" borderId="13" xfId="8" applyNumberFormat="1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left" vertical="top" wrapText="1"/>
    </xf>
    <xf numFmtId="0" fontId="23" fillId="3" borderId="15" xfId="0" applyFont="1" applyFill="1" applyBorder="1" applyAlignment="1">
      <alignment horizontal="left" vertical="top" wrapText="1"/>
    </xf>
    <xf numFmtId="0" fontId="23" fillId="3" borderId="11" xfId="0" applyFont="1" applyFill="1" applyBorder="1" applyAlignment="1">
      <alignment horizontal="left" vertical="top" wrapText="1"/>
    </xf>
    <xf numFmtId="0" fontId="23" fillId="3" borderId="12" xfId="0" applyFont="1" applyFill="1" applyBorder="1" applyAlignment="1">
      <alignment horizontal="left" vertical="top" wrapText="1"/>
    </xf>
    <xf numFmtId="0" fontId="23" fillId="3" borderId="13" xfId="0" applyFont="1" applyFill="1" applyBorder="1" applyAlignment="1">
      <alignment horizontal="left" vertical="top" wrapText="1"/>
    </xf>
    <xf numFmtId="0" fontId="5" fillId="19" borderId="1" xfId="7" applyFont="1" applyFill="1" applyBorder="1" applyAlignment="1">
      <alignment horizontal="center" vertical="center" wrapText="1"/>
    </xf>
    <xf numFmtId="0" fontId="5" fillId="19" borderId="2" xfId="7" applyFont="1" applyFill="1" applyBorder="1" applyAlignment="1">
      <alignment horizontal="center" vertical="center" wrapText="1"/>
    </xf>
    <xf numFmtId="0" fontId="5" fillId="19" borderId="3" xfId="7" applyFont="1" applyFill="1" applyBorder="1" applyAlignment="1">
      <alignment horizontal="center" vertical="center" wrapText="1"/>
    </xf>
    <xf numFmtId="0" fontId="5" fillId="20" borderId="7" xfId="7" applyFont="1" applyFill="1" applyBorder="1" applyAlignment="1">
      <alignment wrapText="1"/>
    </xf>
    <xf numFmtId="0" fontId="5" fillId="20" borderId="8" xfId="7" applyFont="1" applyFill="1" applyBorder="1" applyAlignment="1">
      <alignment wrapText="1"/>
    </xf>
    <xf numFmtId="0" fontId="5" fillId="20" borderId="9" xfId="7" applyFont="1" applyFill="1" applyBorder="1" applyAlignment="1">
      <alignment wrapText="1"/>
    </xf>
    <xf numFmtId="0" fontId="5" fillId="20" borderId="14" xfId="7" applyFont="1" applyFill="1" applyBorder="1" applyAlignment="1">
      <alignment wrapText="1"/>
    </xf>
    <xf numFmtId="0" fontId="5" fillId="20" borderId="0" xfId="7" applyFont="1" applyFill="1" applyBorder="1" applyAlignment="1">
      <alignment wrapText="1"/>
    </xf>
    <xf numFmtId="0" fontId="5" fillId="20" borderId="15" xfId="7" applyFont="1" applyFill="1" applyBorder="1" applyAlignment="1">
      <alignment wrapText="1"/>
    </xf>
    <xf numFmtId="0" fontId="5" fillId="21" borderId="7" xfId="6" applyFont="1" applyFill="1" applyBorder="1" applyAlignment="1">
      <alignment wrapText="1"/>
    </xf>
    <xf numFmtId="0" fontId="5" fillId="21" borderId="8" xfId="6" applyFont="1" applyFill="1" applyBorder="1" applyAlignment="1">
      <alignment wrapText="1"/>
    </xf>
    <xf numFmtId="0" fontId="5" fillId="21" borderId="9" xfId="6" applyFont="1" applyFill="1" applyBorder="1" applyAlignment="1">
      <alignment wrapText="1"/>
    </xf>
    <xf numFmtId="0" fontId="5" fillId="21" borderId="14" xfId="6" applyFont="1" applyFill="1" applyBorder="1" applyAlignment="1">
      <alignment wrapText="1"/>
    </xf>
    <xf numFmtId="0" fontId="5" fillId="21" borderId="0" xfId="6" applyFont="1" applyFill="1" applyBorder="1" applyAlignment="1">
      <alignment wrapText="1"/>
    </xf>
    <xf numFmtId="0" fontId="5" fillId="21" borderId="15" xfId="6" applyFont="1" applyFill="1" applyBorder="1" applyAlignment="1">
      <alignment wrapText="1"/>
    </xf>
    <xf numFmtId="0" fontId="3" fillId="5" borderId="4" xfId="0" applyFont="1" applyFill="1" applyBorder="1" applyAlignment="1">
      <alignment horizontal="left" vertical="center"/>
    </xf>
    <xf numFmtId="0" fontId="18" fillId="16" borderId="1" xfId="4" applyFont="1" applyFill="1" applyBorder="1" applyAlignment="1">
      <alignment horizontal="center" vertical="center" wrapText="1"/>
    </xf>
    <xf numFmtId="0" fontId="18" fillId="16" borderId="3" xfId="4" applyFont="1" applyFill="1" applyBorder="1" applyAlignment="1">
      <alignment horizontal="center" vertical="center" wrapText="1"/>
    </xf>
    <xf numFmtId="0" fontId="7" fillId="18" borderId="14" xfId="8" applyFont="1" applyFill="1" applyBorder="1" applyAlignment="1">
      <alignment vertical="top" wrapText="1"/>
    </xf>
    <xf numFmtId="0" fontId="7" fillId="18" borderId="0" xfId="8" applyFont="1" applyFill="1" applyBorder="1" applyAlignment="1">
      <alignment vertical="top" wrapText="1"/>
    </xf>
    <xf numFmtId="0" fontId="7" fillId="18" borderId="15" xfId="8" applyFont="1" applyFill="1" applyBorder="1" applyAlignment="1">
      <alignment vertical="top" wrapText="1"/>
    </xf>
    <xf numFmtId="0" fontId="7" fillId="18" borderId="11" xfId="8" applyFont="1" applyFill="1" applyBorder="1" applyAlignment="1">
      <alignment vertical="top" wrapText="1"/>
    </xf>
    <xf numFmtId="0" fontId="7" fillId="18" borderId="12" xfId="8" applyFont="1" applyFill="1" applyBorder="1" applyAlignment="1">
      <alignment vertical="top" wrapText="1"/>
    </xf>
    <xf numFmtId="0" fontId="7" fillId="18" borderId="13" xfId="8" applyFont="1" applyFill="1" applyBorder="1" applyAlignment="1">
      <alignment vertical="top" wrapText="1"/>
    </xf>
    <xf numFmtId="0" fontId="5" fillId="18" borderId="7" xfId="8" applyFont="1" applyFill="1" applyBorder="1" applyAlignment="1">
      <alignment wrapText="1"/>
    </xf>
    <xf numFmtId="0" fontId="5" fillId="18" borderId="8" xfId="8" applyFont="1" applyFill="1" applyBorder="1" applyAlignment="1">
      <alignment wrapText="1"/>
    </xf>
    <xf numFmtId="0" fontId="5" fillId="18" borderId="9" xfId="8" applyFont="1" applyFill="1" applyBorder="1" applyAlignment="1">
      <alignment wrapText="1"/>
    </xf>
    <xf numFmtId="0" fontId="5" fillId="18" borderId="14" xfId="8" applyFont="1" applyFill="1" applyBorder="1" applyAlignment="1">
      <alignment wrapText="1"/>
    </xf>
    <xf numFmtId="0" fontId="5" fillId="18" borderId="0" xfId="8" applyFont="1" applyFill="1" applyBorder="1" applyAlignment="1">
      <alignment wrapText="1"/>
    </xf>
    <xf numFmtId="0" fontId="5" fillId="18" borderId="15" xfId="8" applyFont="1" applyFill="1" applyBorder="1" applyAlignment="1">
      <alignment wrapText="1"/>
    </xf>
    <xf numFmtId="182" fontId="5" fillId="18" borderId="1" xfId="8" applyNumberFormat="1" applyFont="1" applyFill="1" applyBorder="1" applyAlignment="1">
      <alignment horizontal="center" vertical="center" wrapText="1"/>
    </xf>
    <xf numFmtId="182" fontId="5" fillId="18" borderId="2" xfId="8" applyNumberFormat="1" applyFont="1" applyFill="1" applyBorder="1" applyAlignment="1">
      <alignment horizontal="center" vertical="center" wrapText="1"/>
    </xf>
    <xf numFmtId="182" fontId="5" fillId="18" borderId="3" xfId="8" applyNumberFormat="1" applyFont="1" applyFill="1" applyBorder="1" applyAlignment="1">
      <alignment horizontal="center" vertical="center" wrapText="1"/>
    </xf>
    <xf numFmtId="193" fontId="5" fillId="19" borderId="1" xfId="7" applyNumberFormat="1" applyFont="1" applyFill="1" applyBorder="1" applyAlignment="1">
      <alignment horizontal="center" vertical="center" wrapText="1"/>
    </xf>
    <xf numFmtId="193" fontId="5" fillId="19" borderId="2" xfId="7" applyNumberFormat="1" applyFont="1" applyFill="1" applyBorder="1" applyAlignment="1">
      <alignment horizontal="center" vertical="center" wrapText="1"/>
    </xf>
    <xf numFmtId="193" fontId="5" fillId="19" borderId="3" xfId="7" applyNumberFormat="1" applyFont="1" applyFill="1" applyBorder="1" applyAlignment="1">
      <alignment horizontal="center" vertical="center" wrapText="1"/>
    </xf>
    <xf numFmtId="0" fontId="5" fillId="19" borderId="7" xfId="7" applyFont="1" applyFill="1" applyBorder="1" applyAlignment="1">
      <alignment vertical="center" wrapText="1"/>
    </xf>
    <xf numFmtId="0" fontId="5" fillId="19" borderId="8" xfId="7" applyFont="1" applyFill="1" applyBorder="1" applyAlignment="1">
      <alignment vertical="center" wrapText="1"/>
    </xf>
    <xf numFmtId="0" fontId="5" fillId="19" borderId="9" xfId="7" applyFont="1" applyFill="1" applyBorder="1" applyAlignment="1">
      <alignment vertical="center" wrapText="1"/>
    </xf>
    <xf numFmtId="0" fontId="5" fillId="19" borderId="14" xfId="7" applyFont="1" applyFill="1" applyBorder="1" applyAlignment="1">
      <alignment vertical="center" wrapText="1"/>
    </xf>
    <xf numFmtId="0" fontId="5" fillId="19" borderId="0" xfId="7" applyFont="1" applyFill="1" applyBorder="1" applyAlignment="1">
      <alignment vertical="center" wrapText="1"/>
    </xf>
    <xf numFmtId="0" fontId="5" fillId="19" borderId="15" xfId="7" applyFont="1" applyFill="1" applyBorder="1" applyAlignment="1">
      <alignment vertical="center" wrapText="1"/>
    </xf>
    <xf numFmtId="0" fontId="5" fillId="19" borderId="11" xfId="7" applyFont="1" applyFill="1" applyBorder="1" applyAlignment="1">
      <alignment vertical="center" wrapText="1"/>
    </xf>
    <xf numFmtId="0" fontId="5" fillId="19" borderId="12" xfId="7" applyFont="1" applyFill="1" applyBorder="1" applyAlignment="1">
      <alignment vertical="center" wrapText="1"/>
    </xf>
    <xf numFmtId="0" fontId="5" fillId="19" borderId="13" xfId="7" applyFont="1" applyFill="1" applyBorder="1" applyAlignment="1">
      <alignment vertical="center" wrapText="1"/>
    </xf>
    <xf numFmtId="195" fontId="5" fillId="21" borderId="1" xfId="6" applyNumberFormat="1" applyFont="1" applyFill="1" applyBorder="1" applyAlignment="1">
      <alignment horizontal="center" vertical="center" wrapText="1"/>
    </xf>
    <xf numFmtId="195" fontId="5" fillId="21" borderId="2" xfId="6" applyNumberFormat="1" applyFont="1" applyFill="1" applyBorder="1" applyAlignment="1">
      <alignment horizontal="center" vertical="center" wrapText="1"/>
    </xf>
    <xf numFmtId="195" fontId="5" fillId="21" borderId="3" xfId="6" applyNumberFormat="1" applyFont="1" applyFill="1" applyBorder="1" applyAlignment="1">
      <alignment horizontal="center" vertical="center" wrapText="1"/>
    </xf>
    <xf numFmtId="49" fontId="23" fillId="21" borderId="7" xfId="6" applyNumberFormat="1" applyFont="1" applyFill="1" applyBorder="1" applyAlignment="1">
      <alignment vertical="center" wrapText="1"/>
    </xf>
    <xf numFmtId="49" fontId="23" fillId="21" borderId="8" xfId="6" applyNumberFormat="1" applyFont="1" applyFill="1" applyBorder="1" applyAlignment="1">
      <alignment vertical="center" wrapText="1"/>
    </xf>
    <xf numFmtId="49" fontId="23" fillId="21" borderId="9" xfId="6" applyNumberFormat="1" applyFont="1" applyFill="1" applyBorder="1" applyAlignment="1">
      <alignment vertical="center" wrapText="1"/>
    </xf>
    <xf numFmtId="49" fontId="23" fillId="21" borderId="14" xfId="6" applyNumberFormat="1" applyFont="1" applyFill="1" applyBorder="1" applyAlignment="1">
      <alignment vertical="center" wrapText="1"/>
    </xf>
    <xf numFmtId="49" fontId="23" fillId="21" borderId="0" xfId="6" applyNumberFormat="1" applyFont="1" applyFill="1" applyBorder="1" applyAlignment="1">
      <alignment vertical="center" wrapText="1"/>
    </xf>
    <xf numFmtId="49" fontId="23" fillId="21" borderId="15" xfId="6" applyNumberFormat="1" applyFont="1" applyFill="1" applyBorder="1" applyAlignment="1">
      <alignment vertical="center" wrapText="1"/>
    </xf>
    <xf numFmtId="49" fontId="23" fillId="21" borderId="11" xfId="6" applyNumberFormat="1" applyFont="1" applyFill="1" applyBorder="1" applyAlignment="1">
      <alignment vertical="center" wrapText="1"/>
    </xf>
    <xf numFmtId="49" fontId="23" fillId="21" borderId="12" xfId="6" applyNumberFormat="1" applyFont="1" applyFill="1" applyBorder="1" applyAlignment="1">
      <alignment vertical="center" wrapText="1"/>
    </xf>
    <xf numFmtId="49" fontId="23" fillId="21" borderId="13" xfId="6" applyNumberFormat="1" applyFont="1" applyFill="1" applyBorder="1" applyAlignment="1">
      <alignment vertical="center" wrapText="1"/>
    </xf>
    <xf numFmtId="49" fontId="23" fillId="19" borderId="1" xfId="7" applyNumberFormat="1" applyFont="1" applyFill="1" applyBorder="1" applyAlignment="1">
      <alignment horizontal="left" vertical="center" wrapText="1"/>
    </xf>
    <xf numFmtId="49" fontId="23" fillId="19" borderId="2" xfId="7" applyNumberFormat="1" applyFont="1" applyFill="1" applyBorder="1" applyAlignment="1">
      <alignment horizontal="left" vertical="center" wrapText="1"/>
    </xf>
    <xf numFmtId="49" fontId="23" fillId="19" borderId="3" xfId="7" applyNumberFormat="1" applyFont="1" applyFill="1" applyBorder="1" applyAlignment="1">
      <alignment horizontal="left" vertical="center" wrapText="1"/>
    </xf>
    <xf numFmtId="0" fontId="23" fillId="19" borderId="1" xfId="7" applyFont="1" applyFill="1" applyBorder="1" applyAlignment="1">
      <alignment horizontal="left" vertical="center" wrapText="1"/>
    </xf>
    <xf numFmtId="0" fontId="23" fillId="19" borderId="2" xfId="7" applyFont="1" applyFill="1" applyBorder="1" applyAlignment="1">
      <alignment horizontal="left" vertical="center" wrapText="1"/>
    </xf>
    <xf numFmtId="0" fontId="23" fillId="19" borderId="3" xfId="7" applyFont="1" applyFill="1" applyBorder="1" applyAlignment="1">
      <alignment horizontal="left" vertical="center" wrapText="1"/>
    </xf>
    <xf numFmtId="164" fontId="5" fillId="3" borderId="5" xfId="0" applyNumberFormat="1" applyFont="1" applyFill="1" applyBorder="1" applyAlignment="1">
      <alignment horizontal="center" vertical="center"/>
    </xf>
    <xf numFmtId="164" fontId="5" fillId="3" borderId="10" xfId="0" applyNumberFormat="1" applyFont="1" applyFill="1" applyBorder="1" applyAlignment="1">
      <alignment horizontal="center" vertical="center"/>
    </xf>
    <xf numFmtId="0" fontId="35" fillId="3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164" fontId="5" fillId="3" borderId="7" xfId="0" applyNumberFormat="1" applyFont="1" applyFill="1" applyBorder="1" applyAlignment="1">
      <alignment horizontal="center" vertical="center"/>
    </xf>
    <xf numFmtId="164" fontId="5" fillId="3" borderId="9" xfId="0" applyNumberFormat="1" applyFont="1" applyFill="1" applyBorder="1" applyAlignment="1">
      <alignment horizontal="center" vertical="center"/>
    </xf>
    <xf numFmtId="164" fontId="5" fillId="3" borderId="11" xfId="0" applyNumberFormat="1" applyFont="1" applyFill="1" applyBorder="1" applyAlignment="1">
      <alignment horizontal="center" vertical="center"/>
    </xf>
    <xf numFmtId="164" fontId="5" fillId="3" borderId="13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1" fillId="30" borderId="4" xfId="0" applyFont="1" applyFill="1" applyBorder="1" applyAlignment="1">
      <alignment horizontal="left" vertical="center" wrapText="1"/>
    </xf>
    <xf numFmtId="0" fontId="11" fillId="30" borderId="4" xfId="0" applyFont="1" applyFill="1" applyBorder="1" applyAlignment="1">
      <alignment horizontal="center" vertical="center" wrapText="1"/>
    </xf>
    <xf numFmtId="0" fontId="45" fillId="31" borderId="4" xfId="0" applyFont="1" applyFill="1" applyBorder="1" applyAlignment="1">
      <alignment horizontal="center" vertical="center"/>
    </xf>
    <xf numFmtId="0" fontId="45" fillId="5" borderId="4" xfId="0" applyFont="1" applyFill="1" applyBorder="1" applyAlignment="1">
      <alignment horizontal="center" vertical="center"/>
    </xf>
    <xf numFmtId="0" fontId="45" fillId="6" borderId="4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11" fillId="2" borderId="14" xfId="0" applyFont="1" applyFill="1" applyBorder="1" applyAlignment="1">
      <alignment horizontal="left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1" fillId="2" borderId="11" xfId="0" applyFont="1" applyFill="1" applyBorder="1" applyAlignment="1">
      <alignment horizontal="left" vertical="center" wrapText="1"/>
    </xf>
    <xf numFmtId="0" fontId="11" fillId="2" borderId="13" xfId="0" applyFont="1" applyFill="1" applyBorder="1" applyAlignment="1">
      <alignment horizontal="left" vertical="center" wrapText="1"/>
    </xf>
    <xf numFmtId="0" fontId="11" fillId="30" borderId="4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9" fontId="11" fillId="2" borderId="5" xfId="9" applyFont="1" applyFill="1" applyBorder="1" applyAlignment="1">
      <alignment horizontal="center" vertical="center"/>
    </xf>
    <xf numFmtId="9" fontId="11" fillId="2" borderId="6" xfId="9" applyFont="1" applyFill="1" applyBorder="1" applyAlignment="1">
      <alignment horizontal="center" vertical="center"/>
    </xf>
    <xf numFmtId="9" fontId="11" fillId="2" borderId="10" xfId="9" applyFont="1" applyFill="1" applyBorder="1" applyAlignment="1">
      <alignment horizontal="center" vertical="center"/>
    </xf>
    <xf numFmtId="0" fontId="11" fillId="2" borderId="5" xfId="9" applyNumberFormat="1" applyFont="1" applyFill="1" applyBorder="1" applyAlignment="1">
      <alignment horizontal="center" vertical="center"/>
    </xf>
    <xf numFmtId="0" fontId="11" fillId="2" borderId="6" xfId="9" applyNumberFormat="1" applyFont="1" applyFill="1" applyBorder="1" applyAlignment="1">
      <alignment horizontal="center" vertical="center"/>
    </xf>
    <xf numFmtId="0" fontId="11" fillId="2" borderId="10" xfId="9" applyNumberFormat="1" applyFont="1" applyFill="1" applyBorder="1" applyAlignment="1">
      <alignment horizontal="center" vertical="center"/>
    </xf>
    <xf numFmtId="0" fontId="11" fillId="29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59" fillId="0" borderId="0" xfId="0" applyFont="1"/>
  </cellXfs>
  <cellStyles count="10">
    <cellStyle name="20% - Accent5" xfId="2" builtinId="46"/>
    <cellStyle name="20% - Accent6" xfId="6" builtinId="50"/>
    <cellStyle name="40% - Accent5" xfId="3" builtinId="47"/>
    <cellStyle name="40% - Accent6" xfId="7" builtinId="51"/>
    <cellStyle name="60% - Accent5" xfId="4" builtinId="48"/>
    <cellStyle name="60% - Accent6" xfId="8" builtinId="52"/>
    <cellStyle name="Accent5" xfId="1" builtinId="45"/>
    <cellStyle name="Accent6" xfId="5" builtinId="49"/>
    <cellStyle name="Normal" xfId="0" builtinId="0"/>
    <cellStyle name="Percent" xfId="9" builtinId="5"/>
  </cellStyles>
  <dxfs count="3">
    <dxf>
      <font>
        <b/>
        <i/>
        <color auto="1"/>
      </font>
      <fill>
        <patternFill>
          <bgColor rgb="FFFF0000"/>
        </patternFill>
      </fill>
    </dxf>
    <dxf>
      <font>
        <b val="0"/>
        <i val="0"/>
      </font>
      <numFmt numFmtId="213" formatCode="#&quot;大&quot;&quot;卡&quot;"/>
      <fill>
        <patternFill>
          <bgColor rgb="FF9BC1E6"/>
        </patternFill>
      </fill>
    </dxf>
    <dxf>
      <font>
        <b/>
        <i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CC4E4"/>
      <color rgb="FF9BC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3891" id="{533A10E4-3389-E342-8F9D-C1318134A7BA}" userId="S::B3891@office-365.studio::9532afd8-4ff9-48ac-820c-fdd14d7b499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4" dT="2025-07-10T13:58:46.62" personId="{533A10E4-3389-E342-8F9D-C1318134A7BA}" id="{9C46EB64-537A-664F-8723-336438A58349}">
    <text>相当于一根Costco普通甜玉米</text>
  </threadedComment>
  <threadedComment ref="J39" dT="2025-07-10T14:02:20.58" personId="{533A10E4-3389-E342-8F9D-C1318134A7BA}" id="{77811DE3-D277-574E-9A86-6CCBEB77EA5A}">
    <text>海产是15%；牛/鸡是20%</text>
  </threadedComment>
</ThreadedComment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C5FC2-4F67-C24F-A438-A55F11613674}">
  <dimension ref="A1:L46"/>
  <sheetViews>
    <sheetView workbookViewId="0">
      <selection sqref="A1:H16"/>
    </sheetView>
  </sheetViews>
  <sheetFormatPr baseColWidth="10" defaultRowHeight="15"/>
  <sheetData>
    <row r="1" spans="1:8">
      <c r="A1" t="s">
        <v>531</v>
      </c>
      <c r="B1">
        <v>150</v>
      </c>
      <c r="C1">
        <v>155</v>
      </c>
      <c r="D1">
        <v>160</v>
      </c>
      <c r="E1">
        <v>165</v>
      </c>
      <c r="F1">
        <v>170</v>
      </c>
      <c r="G1">
        <v>175</v>
      </c>
      <c r="H1">
        <v>180</v>
      </c>
    </row>
    <row r="2" spans="1:8">
      <c r="A2">
        <v>45</v>
      </c>
      <c r="B2" t="s">
        <v>542</v>
      </c>
    </row>
    <row r="3" spans="1:8">
      <c r="A3">
        <v>50</v>
      </c>
      <c r="B3" t="s">
        <v>544</v>
      </c>
      <c r="C3" t="s">
        <v>542</v>
      </c>
      <c r="D3" t="s">
        <v>564</v>
      </c>
    </row>
    <row r="4" spans="1:8">
      <c r="A4">
        <v>55</v>
      </c>
      <c r="B4" t="s">
        <v>546</v>
      </c>
      <c r="C4" t="s">
        <v>544</v>
      </c>
      <c r="D4" t="s">
        <v>542</v>
      </c>
      <c r="E4" t="s">
        <v>564</v>
      </c>
    </row>
    <row r="5" spans="1:8">
      <c r="A5">
        <v>60</v>
      </c>
      <c r="B5" t="s">
        <v>548</v>
      </c>
      <c r="C5" t="s">
        <v>546</v>
      </c>
      <c r="D5" t="s">
        <v>544</v>
      </c>
      <c r="E5" t="s">
        <v>542</v>
      </c>
      <c r="F5" t="s">
        <v>564</v>
      </c>
      <c r="G5" t="s">
        <v>565</v>
      </c>
    </row>
    <row r="6" spans="1:8">
      <c r="A6">
        <v>65</v>
      </c>
      <c r="B6" t="s">
        <v>550</v>
      </c>
      <c r="C6" t="s">
        <v>546</v>
      </c>
      <c r="D6" t="s">
        <v>546</v>
      </c>
      <c r="E6" t="s">
        <v>544</v>
      </c>
      <c r="F6" t="s">
        <v>542</v>
      </c>
      <c r="G6" t="s">
        <v>564</v>
      </c>
      <c r="H6" t="s">
        <v>565</v>
      </c>
    </row>
    <row r="7" spans="1:8">
      <c r="A7">
        <v>70</v>
      </c>
      <c r="B7" t="s">
        <v>552</v>
      </c>
      <c r="C7" t="s">
        <v>550</v>
      </c>
      <c r="D7" t="s">
        <v>546</v>
      </c>
      <c r="E7" t="s">
        <v>546</v>
      </c>
      <c r="F7" t="s">
        <v>544</v>
      </c>
      <c r="G7" t="s">
        <v>542</v>
      </c>
      <c r="H7" t="s">
        <v>542</v>
      </c>
    </row>
    <row r="8" spans="1:8">
      <c r="A8">
        <v>75</v>
      </c>
      <c r="B8" t="s">
        <v>552</v>
      </c>
      <c r="C8" t="s">
        <v>550</v>
      </c>
      <c r="D8" t="s">
        <v>550</v>
      </c>
      <c r="E8" t="s">
        <v>546</v>
      </c>
      <c r="F8" t="s">
        <v>544</v>
      </c>
      <c r="G8" t="s">
        <v>544</v>
      </c>
      <c r="H8" t="s">
        <v>542</v>
      </c>
    </row>
    <row r="9" spans="1:8">
      <c r="A9">
        <v>80</v>
      </c>
      <c r="B9" t="s">
        <v>552</v>
      </c>
      <c r="C9" t="s">
        <v>552</v>
      </c>
      <c r="D9" t="s">
        <v>550</v>
      </c>
      <c r="E9" t="s">
        <v>546</v>
      </c>
      <c r="F9" t="s">
        <v>546</v>
      </c>
      <c r="G9" t="s">
        <v>544</v>
      </c>
      <c r="H9" t="s">
        <v>566</v>
      </c>
    </row>
    <row r="10" spans="1:8">
      <c r="A10">
        <v>85</v>
      </c>
      <c r="B10" t="s">
        <v>556</v>
      </c>
      <c r="C10" t="s">
        <v>552</v>
      </c>
      <c r="D10" t="s">
        <v>550</v>
      </c>
      <c r="E10" t="s">
        <v>550</v>
      </c>
      <c r="F10" t="s">
        <v>546</v>
      </c>
      <c r="G10" t="s">
        <v>546</v>
      </c>
      <c r="H10" t="s">
        <v>544</v>
      </c>
    </row>
    <row r="11" spans="1:8">
      <c r="A11">
        <v>90</v>
      </c>
      <c r="B11" t="s">
        <v>556</v>
      </c>
      <c r="C11" t="s">
        <v>552</v>
      </c>
      <c r="D11" t="s">
        <v>550</v>
      </c>
      <c r="E11" t="s">
        <v>550</v>
      </c>
      <c r="F11" t="s">
        <v>550</v>
      </c>
      <c r="G11" t="s">
        <v>546</v>
      </c>
      <c r="H11" t="s">
        <v>546</v>
      </c>
    </row>
    <row r="12" spans="1:8">
      <c r="A12">
        <v>95</v>
      </c>
      <c r="B12" t="s">
        <v>556</v>
      </c>
      <c r="C12" t="s">
        <v>556</v>
      </c>
      <c r="D12" t="s">
        <v>550</v>
      </c>
      <c r="E12" t="s">
        <v>552</v>
      </c>
      <c r="F12" t="s">
        <v>550</v>
      </c>
      <c r="G12" t="s">
        <v>548</v>
      </c>
      <c r="H12" t="s">
        <v>546</v>
      </c>
    </row>
    <row r="13" spans="1:8">
      <c r="A13">
        <v>100</v>
      </c>
      <c r="B13" t="s">
        <v>556</v>
      </c>
      <c r="C13" t="s">
        <v>556</v>
      </c>
      <c r="D13" t="s">
        <v>550</v>
      </c>
      <c r="E13" t="s">
        <v>552</v>
      </c>
      <c r="F13" t="s">
        <v>550</v>
      </c>
      <c r="G13" t="s">
        <v>550</v>
      </c>
      <c r="H13" t="s">
        <v>546</v>
      </c>
    </row>
    <row r="14" spans="1:8">
      <c r="A14">
        <v>105</v>
      </c>
      <c r="B14" t="s">
        <v>556</v>
      </c>
      <c r="C14" t="s">
        <v>556</v>
      </c>
      <c r="D14" t="s">
        <v>556</v>
      </c>
      <c r="E14" t="s">
        <v>552</v>
      </c>
      <c r="F14" t="s">
        <v>552</v>
      </c>
      <c r="G14" t="s">
        <v>550</v>
      </c>
      <c r="H14" t="s">
        <v>550</v>
      </c>
    </row>
    <row r="15" spans="1:8">
      <c r="A15">
        <v>110</v>
      </c>
      <c r="B15" t="s">
        <v>562</v>
      </c>
      <c r="C15" t="s">
        <v>556</v>
      </c>
      <c r="D15" t="s">
        <v>556</v>
      </c>
      <c r="E15" t="s">
        <v>552</v>
      </c>
      <c r="F15" t="s">
        <v>552</v>
      </c>
      <c r="G15" t="s">
        <v>550</v>
      </c>
      <c r="H15" t="s">
        <v>550</v>
      </c>
    </row>
    <row r="16" spans="1:8">
      <c r="A16">
        <v>115</v>
      </c>
      <c r="B16" t="s">
        <v>562</v>
      </c>
      <c r="C16" t="s">
        <v>556</v>
      </c>
      <c r="D16" t="s">
        <v>556</v>
      </c>
      <c r="E16" t="s">
        <v>556</v>
      </c>
      <c r="F16" t="s">
        <v>552</v>
      </c>
      <c r="G16" t="s">
        <v>552</v>
      </c>
      <c r="H16" t="s">
        <v>550</v>
      </c>
    </row>
    <row r="22" spans="4:12">
      <c r="D22" s="880"/>
      <c r="E22" s="880"/>
    </row>
    <row r="24" spans="4:12">
      <c r="G24" s="880"/>
      <c r="H24" s="880"/>
    </row>
    <row r="25" spans="4:12">
      <c r="I25" s="880"/>
      <c r="J25" s="880"/>
      <c r="K25" s="880"/>
      <c r="L25" s="880"/>
    </row>
    <row r="43" spans="4:7">
      <c r="D43" s="880"/>
      <c r="E43" s="880"/>
    </row>
    <row r="46" spans="4:7">
      <c r="F46" s="880"/>
      <c r="G46" s="88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EC5D-831C-4B40-B060-98C462BD608F}">
  <dimension ref="A1:H16"/>
  <sheetViews>
    <sheetView workbookViewId="0">
      <selection activeCell="D18" sqref="D18"/>
    </sheetView>
  </sheetViews>
  <sheetFormatPr baseColWidth="10" defaultRowHeight="15"/>
  <sheetData>
    <row r="1" spans="1:8">
      <c r="A1" t="s">
        <v>567</v>
      </c>
      <c r="B1" t="s">
        <v>568</v>
      </c>
      <c r="C1" t="s">
        <v>569</v>
      </c>
      <c r="D1" t="s">
        <v>570</v>
      </c>
      <c r="E1" t="s">
        <v>571</v>
      </c>
      <c r="F1" t="s">
        <v>572</v>
      </c>
      <c r="G1" t="s">
        <v>573</v>
      </c>
      <c r="H1" t="s">
        <v>574</v>
      </c>
    </row>
    <row r="2" spans="1:8">
      <c r="A2" t="s">
        <v>541</v>
      </c>
      <c r="B2" t="s">
        <v>575</v>
      </c>
      <c r="C2" t="s">
        <v>576</v>
      </c>
      <c r="D2" t="s">
        <v>576</v>
      </c>
      <c r="E2" t="s">
        <v>576</v>
      </c>
      <c r="F2" t="s">
        <v>576</v>
      </c>
      <c r="G2" t="s">
        <v>576</v>
      </c>
      <c r="H2" t="s">
        <v>576</v>
      </c>
    </row>
    <row r="3" spans="1:8">
      <c r="A3" t="s">
        <v>543</v>
      </c>
      <c r="B3" t="s">
        <v>577</v>
      </c>
      <c r="C3" t="s">
        <v>578</v>
      </c>
      <c r="D3" t="s">
        <v>579</v>
      </c>
      <c r="E3" t="s">
        <v>576</v>
      </c>
      <c r="F3" t="s">
        <v>576</v>
      </c>
      <c r="G3" t="s">
        <v>576</v>
      </c>
      <c r="H3" t="s">
        <v>576</v>
      </c>
    </row>
    <row r="4" spans="1:8">
      <c r="A4" t="s">
        <v>545</v>
      </c>
      <c r="B4" t="s">
        <v>577</v>
      </c>
      <c r="C4" t="s">
        <v>580</v>
      </c>
      <c r="D4" t="s">
        <v>578</v>
      </c>
      <c r="E4" t="s">
        <v>579</v>
      </c>
      <c r="F4" t="s">
        <v>576</v>
      </c>
      <c r="G4" t="s">
        <v>576</v>
      </c>
      <c r="H4" t="s">
        <v>576</v>
      </c>
    </row>
    <row r="5" spans="1:8">
      <c r="A5" t="s">
        <v>547</v>
      </c>
      <c r="B5" t="s">
        <v>581</v>
      </c>
      <c r="C5" t="s">
        <v>577</v>
      </c>
      <c r="D5" t="s">
        <v>580</v>
      </c>
      <c r="E5" t="s">
        <v>579</v>
      </c>
      <c r="F5" t="s">
        <v>582</v>
      </c>
      <c r="G5" t="s">
        <v>583</v>
      </c>
      <c r="H5" t="s">
        <v>576</v>
      </c>
    </row>
    <row r="6" spans="1:8">
      <c r="A6" t="s">
        <v>549</v>
      </c>
      <c r="B6" t="s">
        <v>584</v>
      </c>
      <c r="C6" t="s">
        <v>577</v>
      </c>
      <c r="D6" t="s">
        <v>580</v>
      </c>
      <c r="E6" t="s">
        <v>580</v>
      </c>
      <c r="F6" t="s">
        <v>579</v>
      </c>
      <c r="G6" t="s">
        <v>582</v>
      </c>
      <c r="H6" t="s">
        <v>585</v>
      </c>
    </row>
    <row r="7" spans="1:8">
      <c r="A7" t="s">
        <v>551</v>
      </c>
      <c r="B7" t="s">
        <v>584</v>
      </c>
      <c r="C7" t="s">
        <v>586</v>
      </c>
      <c r="D7" t="s">
        <v>577</v>
      </c>
      <c r="E7" t="s">
        <v>580</v>
      </c>
      <c r="F7" t="s">
        <v>587</v>
      </c>
      <c r="G7" t="s">
        <v>579</v>
      </c>
      <c r="H7" t="s">
        <v>582</v>
      </c>
    </row>
    <row r="8" spans="1:8">
      <c r="A8" t="s">
        <v>553</v>
      </c>
      <c r="B8" t="s">
        <v>584</v>
      </c>
      <c r="C8" t="s">
        <v>586</v>
      </c>
      <c r="D8" t="s">
        <v>586</v>
      </c>
      <c r="E8" t="s">
        <v>580</v>
      </c>
      <c r="F8" t="s">
        <v>580</v>
      </c>
      <c r="G8" t="s">
        <v>587</v>
      </c>
      <c r="H8" t="s">
        <v>582</v>
      </c>
    </row>
    <row r="9" spans="1:8">
      <c r="A9" t="s">
        <v>554</v>
      </c>
      <c r="B9" t="s">
        <v>584</v>
      </c>
      <c r="C9" t="s">
        <v>584</v>
      </c>
      <c r="D9" t="s">
        <v>586</v>
      </c>
      <c r="E9" t="s">
        <v>580</v>
      </c>
      <c r="F9" t="s">
        <v>580</v>
      </c>
      <c r="G9" t="s">
        <v>587</v>
      </c>
      <c r="H9" t="s">
        <v>579</v>
      </c>
    </row>
    <row r="10" spans="1:8">
      <c r="A10" t="s">
        <v>555</v>
      </c>
      <c r="B10" t="s">
        <v>588</v>
      </c>
      <c r="C10" t="s">
        <v>584</v>
      </c>
      <c r="D10" t="s">
        <v>586</v>
      </c>
      <c r="E10" t="s">
        <v>586</v>
      </c>
      <c r="F10" t="s">
        <v>580</v>
      </c>
      <c r="G10" t="s">
        <v>580</v>
      </c>
      <c r="H10" t="s">
        <v>587</v>
      </c>
    </row>
    <row r="11" spans="1:8">
      <c r="A11" t="s">
        <v>557</v>
      </c>
      <c r="B11" t="s">
        <v>588</v>
      </c>
      <c r="C11" t="s">
        <v>584</v>
      </c>
      <c r="D11" t="s">
        <v>586</v>
      </c>
      <c r="E11" t="s">
        <v>586</v>
      </c>
      <c r="F11" t="s">
        <v>589</v>
      </c>
      <c r="G11" t="s">
        <v>580</v>
      </c>
      <c r="H11" t="s">
        <v>587</v>
      </c>
    </row>
    <row r="12" spans="1:8">
      <c r="A12" t="s">
        <v>558</v>
      </c>
      <c r="B12" t="s">
        <v>590</v>
      </c>
      <c r="C12" t="s">
        <v>588</v>
      </c>
      <c r="D12" t="s">
        <v>584</v>
      </c>
      <c r="E12" t="s">
        <v>586</v>
      </c>
      <c r="F12" t="s">
        <v>586</v>
      </c>
      <c r="G12" t="s">
        <v>580</v>
      </c>
      <c r="H12" t="s">
        <v>580</v>
      </c>
    </row>
    <row r="13" spans="1:8">
      <c r="A13" t="s">
        <v>559</v>
      </c>
      <c r="B13" t="s">
        <v>590</v>
      </c>
      <c r="C13" t="s">
        <v>588</v>
      </c>
      <c r="D13" t="s">
        <v>584</v>
      </c>
      <c r="E13" t="s">
        <v>586</v>
      </c>
      <c r="F13" t="s">
        <v>586</v>
      </c>
      <c r="G13" t="s">
        <v>589</v>
      </c>
      <c r="H13" t="s">
        <v>580</v>
      </c>
    </row>
    <row r="14" spans="1:8">
      <c r="A14" t="s">
        <v>560</v>
      </c>
      <c r="B14" t="s">
        <v>590</v>
      </c>
      <c r="C14" t="s">
        <v>588</v>
      </c>
      <c r="D14" t="s">
        <v>588</v>
      </c>
      <c r="E14" t="s">
        <v>586</v>
      </c>
      <c r="F14" t="s">
        <v>586</v>
      </c>
      <c r="G14" t="s">
        <v>589</v>
      </c>
      <c r="H14" t="s">
        <v>589</v>
      </c>
    </row>
    <row r="15" spans="1:8">
      <c r="A15" t="s">
        <v>561</v>
      </c>
      <c r="B15" t="s">
        <v>590</v>
      </c>
      <c r="C15" t="s">
        <v>588</v>
      </c>
      <c r="D15" t="s">
        <v>588</v>
      </c>
      <c r="E15" t="s">
        <v>586</v>
      </c>
      <c r="F15" t="s">
        <v>586</v>
      </c>
      <c r="G15" t="s">
        <v>586</v>
      </c>
      <c r="H15" t="s">
        <v>589</v>
      </c>
    </row>
    <row r="16" spans="1:8">
      <c r="A16" t="s">
        <v>563</v>
      </c>
      <c r="B16" t="s">
        <v>590</v>
      </c>
      <c r="C16" t="s">
        <v>588</v>
      </c>
      <c r="D16" t="s">
        <v>588</v>
      </c>
      <c r="E16" t="s">
        <v>588</v>
      </c>
      <c r="F16" t="s">
        <v>586</v>
      </c>
      <c r="G16" t="s">
        <v>586</v>
      </c>
      <c r="H16" t="s">
        <v>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6A27-9FB1-3C47-8B12-873A530B1E84}">
  <dimension ref="A1:H16"/>
  <sheetViews>
    <sheetView workbookViewId="0">
      <selection sqref="A1:H17"/>
    </sheetView>
  </sheetViews>
  <sheetFormatPr baseColWidth="10" defaultRowHeight="15"/>
  <sheetData>
    <row r="1" spans="1:8">
      <c r="A1" t="s">
        <v>567</v>
      </c>
      <c r="B1" t="s">
        <v>568</v>
      </c>
      <c r="C1" t="s">
        <v>569</v>
      </c>
      <c r="D1" t="s">
        <v>570</v>
      </c>
      <c r="E1" t="s">
        <v>571</v>
      </c>
      <c r="F1" t="s">
        <v>572</v>
      </c>
      <c r="G1" t="s">
        <v>573</v>
      </c>
      <c r="H1" t="s">
        <v>574</v>
      </c>
    </row>
    <row r="2" spans="1:8">
      <c r="A2" t="s">
        <v>541</v>
      </c>
      <c r="B2" t="s">
        <v>532</v>
      </c>
      <c r="C2" t="s">
        <v>576</v>
      </c>
      <c r="D2" t="s">
        <v>576</v>
      </c>
      <c r="E2" t="s">
        <v>576</v>
      </c>
      <c r="F2" t="s">
        <v>576</v>
      </c>
      <c r="G2" t="s">
        <v>576</v>
      </c>
      <c r="H2" t="s">
        <v>576</v>
      </c>
    </row>
    <row r="3" spans="1:8">
      <c r="A3" t="s">
        <v>543</v>
      </c>
      <c r="B3" t="s">
        <v>533</v>
      </c>
      <c r="C3" t="s">
        <v>532</v>
      </c>
      <c r="D3" t="s">
        <v>540</v>
      </c>
      <c r="E3" t="s">
        <v>576</v>
      </c>
      <c r="F3" t="s">
        <v>576</v>
      </c>
      <c r="G3" t="s">
        <v>576</v>
      </c>
      <c r="H3" t="s">
        <v>576</v>
      </c>
    </row>
    <row r="4" spans="1:8">
      <c r="A4" t="s">
        <v>545</v>
      </c>
      <c r="B4" t="s">
        <v>534</v>
      </c>
      <c r="C4" t="s">
        <v>533</v>
      </c>
      <c r="D4" t="s">
        <v>532</v>
      </c>
      <c r="E4" t="s">
        <v>540</v>
      </c>
      <c r="F4" t="s">
        <v>576</v>
      </c>
      <c r="G4" t="s">
        <v>576</v>
      </c>
      <c r="H4" t="s">
        <v>576</v>
      </c>
    </row>
    <row r="5" spans="1:8">
      <c r="A5" t="s">
        <v>547</v>
      </c>
      <c r="B5" t="s">
        <v>535</v>
      </c>
      <c r="C5" t="s">
        <v>534</v>
      </c>
      <c r="D5" t="s">
        <v>533</v>
      </c>
      <c r="E5" t="s">
        <v>532</v>
      </c>
      <c r="F5" t="s">
        <v>540</v>
      </c>
      <c r="G5" t="s">
        <v>591</v>
      </c>
      <c r="H5" t="s">
        <v>576</v>
      </c>
    </row>
    <row r="6" spans="1:8">
      <c r="A6" t="s">
        <v>549</v>
      </c>
      <c r="B6" t="s">
        <v>536</v>
      </c>
      <c r="C6" t="s">
        <v>534</v>
      </c>
      <c r="D6" t="s">
        <v>534</v>
      </c>
      <c r="E6" t="s">
        <v>533</v>
      </c>
      <c r="F6" t="s">
        <v>532</v>
      </c>
      <c r="G6" t="s">
        <v>540</v>
      </c>
      <c r="H6" t="s">
        <v>591</v>
      </c>
    </row>
    <row r="7" spans="1:8">
      <c r="A7" t="s">
        <v>551</v>
      </c>
      <c r="B7" t="s">
        <v>537</v>
      </c>
      <c r="C7" t="s">
        <v>536</v>
      </c>
      <c r="D7" t="s">
        <v>534</v>
      </c>
      <c r="E7" t="s">
        <v>534</v>
      </c>
      <c r="F7" t="s">
        <v>533</v>
      </c>
      <c r="G7" t="s">
        <v>532</v>
      </c>
      <c r="H7" t="s">
        <v>532</v>
      </c>
    </row>
    <row r="8" spans="1:8">
      <c r="A8" t="s">
        <v>553</v>
      </c>
      <c r="B8" t="s">
        <v>537</v>
      </c>
      <c r="C8" t="s">
        <v>536</v>
      </c>
      <c r="D8" t="s">
        <v>536</v>
      </c>
      <c r="E8" t="s">
        <v>534</v>
      </c>
      <c r="F8" t="s">
        <v>533</v>
      </c>
      <c r="G8" t="s">
        <v>533</v>
      </c>
      <c r="H8" t="s">
        <v>532</v>
      </c>
    </row>
    <row r="9" spans="1:8">
      <c r="A9" t="s">
        <v>554</v>
      </c>
      <c r="B9" t="s">
        <v>537</v>
      </c>
      <c r="C9" t="s">
        <v>537</v>
      </c>
      <c r="D9" t="s">
        <v>536</v>
      </c>
      <c r="E9" t="s">
        <v>534</v>
      </c>
      <c r="F9" t="s">
        <v>534</v>
      </c>
      <c r="G9" t="s">
        <v>533</v>
      </c>
      <c r="H9" t="s">
        <v>592</v>
      </c>
    </row>
    <row r="10" spans="1:8">
      <c r="A10" t="s">
        <v>555</v>
      </c>
      <c r="B10" t="s">
        <v>538</v>
      </c>
      <c r="C10" t="s">
        <v>537</v>
      </c>
      <c r="D10" t="s">
        <v>536</v>
      </c>
      <c r="E10" t="s">
        <v>536</v>
      </c>
      <c r="F10" t="s">
        <v>534</v>
      </c>
      <c r="G10" t="s">
        <v>534</v>
      </c>
      <c r="H10" t="s">
        <v>533</v>
      </c>
    </row>
    <row r="11" spans="1:8">
      <c r="A11" t="s">
        <v>557</v>
      </c>
      <c r="B11" t="s">
        <v>538</v>
      </c>
      <c r="C11" t="s">
        <v>537</v>
      </c>
      <c r="D11" t="s">
        <v>536</v>
      </c>
      <c r="E11" t="s">
        <v>536</v>
      </c>
      <c r="F11" t="s">
        <v>536</v>
      </c>
      <c r="G11" t="s">
        <v>534</v>
      </c>
      <c r="H11" t="s">
        <v>534</v>
      </c>
    </row>
    <row r="12" spans="1:8">
      <c r="A12" t="s">
        <v>558</v>
      </c>
      <c r="B12" t="s">
        <v>538</v>
      </c>
      <c r="C12" t="s">
        <v>538</v>
      </c>
      <c r="D12" t="s">
        <v>536</v>
      </c>
      <c r="E12" t="s">
        <v>537</v>
      </c>
      <c r="F12" t="s">
        <v>536</v>
      </c>
      <c r="G12" t="s">
        <v>535</v>
      </c>
      <c r="H12" t="s">
        <v>534</v>
      </c>
    </row>
    <row r="13" spans="1:8">
      <c r="A13" t="s">
        <v>559</v>
      </c>
      <c r="B13" t="s">
        <v>538</v>
      </c>
      <c r="C13" t="s">
        <v>538</v>
      </c>
      <c r="D13" t="s">
        <v>536</v>
      </c>
      <c r="E13" t="s">
        <v>537</v>
      </c>
      <c r="F13" t="s">
        <v>536</v>
      </c>
      <c r="G13" t="s">
        <v>536</v>
      </c>
      <c r="H13" t="s">
        <v>534</v>
      </c>
    </row>
    <row r="14" spans="1:8">
      <c r="A14" t="s">
        <v>560</v>
      </c>
      <c r="B14" t="s">
        <v>538</v>
      </c>
      <c r="C14" t="s">
        <v>538</v>
      </c>
      <c r="D14" t="s">
        <v>538</v>
      </c>
      <c r="E14" t="s">
        <v>537</v>
      </c>
      <c r="F14" t="s">
        <v>537</v>
      </c>
      <c r="G14" t="s">
        <v>536</v>
      </c>
      <c r="H14" t="s">
        <v>536</v>
      </c>
    </row>
    <row r="15" spans="1:8">
      <c r="A15" t="s">
        <v>561</v>
      </c>
      <c r="B15" t="s">
        <v>539</v>
      </c>
      <c r="C15" t="s">
        <v>538</v>
      </c>
      <c r="D15" t="s">
        <v>538</v>
      </c>
      <c r="E15" t="s">
        <v>537</v>
      </c>
      <c r="F15" t="s">
        <v>537</v>
      </c>
      <c r="G15" t="s">
        <v>536</v>
      </c>
      <c r="H15" t="s">
        <v>536</v>
      </c>
    </row>
    <row r="16" spans="1:8">
      <c r="A16" t="s">
        <v>563</v>
      </c>
      <c r="B16" t="s">
        <v>539</v>
      </c>
      <c r="C16" t="s">
        <v>538</v>
      </c>
      <c r="D16" t="s">
        <v>538</v>
      </c>
      <c r="E16" t="s">
        <v>538</v>
      </c>
      <c r="F16" t="s">
        <v>537</v>
      </c>
      <c r="G16" t="s">
        <v>537</v>
      </c>
      <c r="H16" t="s">
        <v>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65E50-E1F3-6B40-8AAA-72166061145F}">
  <dimension ref="A1:H16"/>
  <sheetViews>
    <sheetView workbookViewId="0">
      <selection sqref="A1:H17"/>
    </sheetView>
  </sheetViews>
  <sheetFormatPr baseColWidth="10" defaultRowHeight="15"/>
  <sheetData>
    <row r="1" spans="1:8">
      <c r="A1" t="s">
        <v>567</v>
      </c>
      <c r="B1" t="s">
        <v>568</v>
      </c>
      <c r="C1" t="s">
        <v>569</v>
      </c>
      <c r="D1" t="s">
        <v>570</v>
      </c>
      <c r="E1" t="s">
        <v>571</v>
      </c>
      <c r="F1" t="s">
        <v>572</v>
      </c>
      <c r="G1" t="s">
        <v>573</v>
      </c>
      <c r="H1" t="s">
        <v>574</v>
      </c>
    </row>
    <row r="2" spans="1:8">
      <c r="A2" t="s">
        <v>541</v>
      </c>
      <c r="B2" t="s">
        <v>575</v>
      </c>
      <c r="C2" t="s">
        <v>576</v>
      </c>
      <c r="D2" t="s">
        <v>576</v>
      </c>
      <c r="E2" t="s">
        <v>576</v>
      </c>
      <c r="F2" t="s">
        <v>576</v>
      </c>
      <c r="G2" t="s">
        <v>576</v>
      </c>
      <c r="H2" t="s">
        <v>576</v>
      </c>
    </row>
    <row r="3" spans="1:8">
      <c r="A3" t="s">
        <v>543</v>
      </c>
      <c r="B3" t="s">
        <v>577</v>
      </c>
      <c r="C3" t="s">
        <v>578</v>
      </c>
      <c r="D3" t="s">
        <v>579</v>
      </c>
      <c r="E3" t="s">
        <v>576</v>
      </c>
      <c r="F3" t="s">
        <v>576</v>
      </c>
      <c r="G3" t="s">
        <v>576</v>
      </c>
      <c r="H3" t="s">
        <v>576</v>
      </c>
    </row>
    <row r="4" spans="1:8">
      <c r="A4" t="s">
        <v>545</v>
      </c>
      <c r="B4" t="s">
        <v>577</v>
      </c>
      <c r="C4" t="s">
        <v>580</v>
      </c>
      <c r="D4" t="s">
        <v>578</v>
      </c>
      <c r="E4" t="s">
        <v>579</v>
      </c>
      <c r="F4" t="s">
        <v>576</v>
      </c>
      <c r="G4" t="s">
        <v>576</v>
      </c>
      <c r="H4" t="s">
        <v>576</v>
      </c>
    </row>
    <row r="5" spans="1:8">
      <c r="A5" t="s">
        <v>547</v>
      </c>
      <c r="B5" t="s">
        <v>581</v>
      </c>
      <c r="C5" t="s">
        <v>577</v>
      </c>
      <c r="D5" t="s">
        <v>580</v>
      </c>
      <c r="E5" t="s">
        <v>579</v>
      </c>
      <c r="F5" t="s">
        <v>582</v>
      </c>
      <c r="G5" t="s">
        <v>583</v>
      </c>
      <c r="H5" t="s">
        <v>576</v>
      </c>
    </row>
    <row r="6" spans="1:8">
      <c r="A6" t="s">
        <v>549</v>
      </c>
      <c r="B6" t="s">
        <v>584</v>
      </c>
      <c r="C6" t="s">
        <v>577</v>
      </c>
      <c r="D6" t="s">
        <v>580</v>
      </c>
      <c r="E6" t="s">
        <v>580</v>
      </c>
      <c r="F6" t="s">
        <v>579</v>
      </c>
      <c r="G6" t="s">
        <v>582</v>
      </c>
      <c r="H6" t="s">
        <v>585</v>
      </c>
    </row>
    <row r="7" spans="1:8">
      <c r="A7" t="s">
        <v>551</v>
      </c>
      <c r="B7" t="s">
        <v>584</v>
      </c>
      <c r="C7" t="s">
        <v>586</v>
      </c>
      <c r="D7" t="s">
        <v>577</v>
      </c>
      <c r="E7" t="s">
        <v>580</v>
      </c>
      <c r="F7" t="s">
        <v>587</v>
      </c>
      <c r="G7" t="s">
        <v>579</v>
      </c>
      <c r="H7" t="s">
        <v>582</v>
      </c>
    </row>
    <row r="8" spans="1:8">
      <c r="A8" t="s">
        <v>553</v>
      </c>
      <c r="B8" t="s">
        <v>584</v>
      </c>
      <c r="C8" t="s">
        <v>586</v>
      </c>
      <c r="D8" t="s">
        <v>586</v>
      </c>
      <c r="E8" t="s">
        <v>580</v>
      </c>
      <c r="F8" t="s">
        <v>580</v>
      </c>
      <c r="G8" t="s">
        <v>587</v>
      </c>
      <c r="H8" t="s">
        <v>582</v>
      </c>
    </row>
    <row r="9" spans="1:8">
      <c r="A9" t="s">
        <v>554</v>
      </c>
      <c r="B9" t="s">
        <v>584</v>
      </c>
      <c r="C9" t="s">
        <v>584</v>
      </c>
      <c r="D9" t="s">
        <v>586</v>
      </c>
      <c r="E9" t="s">
        <v>580</v>
      </c>
      <c r="F9" t="s">
        <v>580</v>
      </c>
      <c r="G9" t="s">
        <v>587</v>
      </c>
      <c r="H9" t="s">
        <v>579</v>
      </c>
    </row>
    <row r="10" spans="1:8">
      <c r="A10" t="s">
        <v>555</v>
      </c>
      <c r="B10" t="s">
        <v>588</v>
      </c>
      <c r="C10" t="s">
        <v>584</v>
      </c>
      <c r="D10" t="s">
        <v>586</v>
      </c>
      <c r="E10" t="s">
        <v>586</v>
      </c>
      <c r="F10" t="s">
        <v>580</v>
      </c>
      <c r="G10" t="s">
        <v>580</v>
      </c>
      <c r="H10" t="s">
        <v>587</v>
      </c>
    </row>
    <row r="11" spans="1:8">
      <c r="A11" t="s">
        <v>557</v>
      </c>
      <c r="B11" t="s">
        <v>588</v>
      </c>
      <c r="C11" t="s">
        <v>584</v>
      </c>
      <c r="D11" t="s">
        <v>586</v>
      </c>
      <c r="E11" t="s">
        <v>586</v>
      </c>
      <c r="F11" t="s">
        <v>589</v>
      </c>
      <c r="G11" t="s">
        <v>580</v>
      </c>
      <c r="H11" t="s">
        <v>587</v>
      </c>
    </row>
    <row r="12" spans="1:8">
      <c r="A12" t="s">
        <v>558</v>
      </c>
      <c r="B12" t="s">
        <v>590</v>
      </c>
      <c r="C12" t="s">
        <v>588</v>
      </c>
      <c r="D12" t="s">
        <v>584</v>
      </c>
      <c r="E12" t="s">
        <v>586</v>
      </c>
      <c r="F12" t="s">
        <v>586</v>
      </c>
      <c r="G12" t="s">
        <v>580</v>
      </c>
      <c r="H12" t="s">
        <v>580</v>
      </c>
    </row>
    <row r="13" spans="1:8">
      <c r="A13" t="s">
        <v>559</v>
      </c>
      <c r="B13" t="s">
        <v>590</v>
      </c>
      <c r="C13" t="s">
        <v>588</v>
      </c>
      <c r="D13" t="s">
        <v>584</v>
      </c>
      <c r="E13" t="s">
        <v>586</v>
      </c>
      <c r="F13" t="s">
        <v>586</v>
      </c>
      <c r="G13" t="s">
        <v>589</v>
      </c>
      <c r="H13" t="s">
        <v>580</v>
      </c>
    </row>
    <row r="14" spans="1:8">
      <c r="A14" t="s">
        <v>560</v>
      </c>
      <c r="B14" t="s">
        <v>590</v>
      </c>
      <c r="C14" t="s">
        <v>588</v>
      </c>
      <c r="D14" t="s">
        <v>588</v>
      </c>
      <c r="E14" t="s">
        <v>586</v>
      </c>
      <c r="F14" t="s">
        <v>586</v>
      </c>
      <c r="G14" t="s">
        <v>589</v>
      </c>
      <c r="H14" t="s">
        <v>589</v>
      </c>
    </row>
    <row r="15" spans="1:8">
      <c r="A15" t="s">
        <v>561</v>
      </c>
      <c r="B15" t="s">
        <v>590</v>
      </c>
      <c r="C15" t="s">
        <v>588</v>
      </c>
      <c r="D15" t="s">
        <v>588</v>
      </c>
      <c r="E15" t="s">
        <v>586</v>
      </c>
      <c r="F15" t="s">
        <v>586</v>
      </c>
      <c r="G15" t="s">
        <v>586</v>
      </c>
      <c r="H15" t="s">
        <v>589</v>
      </c>
    </row>
    <row r="16" spans="1:8">
      <c r="A16" t="s">
        <v>563</v>
      </c>
      <c r="B16" t="s">
        <v>590</v>
      </c>
      <c r="C16" t="s">
        <v>588</v>
      </c>
      <c r="D16" t="s">
        <v>588</v>
      </c>
      <c r="E16" t="s">
        <v>588</v>
      </c>
      <c r="F16" t="s">
        <v>586</v>
      </c>
      <c r="G16" t="s">
        <v>586</v>
      </c>
      <c r="H16" t="s">
        <v>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C3704-1921-E64E-AF6B-750CADD58541}">
  <dimension ref="A1:U112"/>
  <sheetViews>
    <sheetView topLeftCell="A7" workbookViewId="0">
      <selection activeCell="M32" sqref="M32:M33"/>
    </sheetView>
  </sheetViews>
  <sheetFormatPr baseColWidth="10" defaultColWidth="27.6640625" defaultRowHeight="17.25" customHeight="1"/>
  <cols>
    <col min="1" max="1" width="3" style="132" customWidth="1"/>
    <col min="2" max="2" width="9.5" style="132" customWidth="1"/>
    <col min="3" max="3" width="8" style="132" customWidth="1"/>
    <col min="4" max="4" width="18.33203125" style="132" customWidth="1"/>
    <col min="5" max="5" width="2" style="134" customWidth="1"/>
    <col min="6" max="6" width="7.6640625" style="132" customWidth="1"/>
    <col min="7" max="7" width="14.6640625" style="132" customWidth="1"/>
    <col min="8" max="8" width="10.6640625" style="132" customWidth="1"/>
    <col min="9" max="9" width="2" style="134" customWidth="1"/>
    <col min="10" max="10" width="7.6640625" style="132" customWidth="1"/>
    <col min="11" max="11" width="14.6640625" style="132" customWidth="1"/>
    <col min="12" max="12" width="10.6640625" style="132" customWidth="1"/>
    <col min="13" max="14" width="33.83203125" style="132" customWidth="1"/>
    <col min="15" max="15" width="3" style="132" customWidth="1"/>
    <col min="16" max="16" width="9.33203125" style="132" customWidth="1"/>
    <col min="17" max="21" width="27.6640625" style="133"/>
    <col min="22" max="16384" width="27.6640625" style="132"/>
  </cols>
  <sheetData>
    <row r="1" spans="1:15" ht="17.25" customHeight="1">
      <c r="A1" s="61" t="s">
        <v>166</v>
      </c>
    </row>
    <row r="2" spans="1:15" ht="17.25" customHeight="1">
      <c r="A2" s="61" t="s">
        <v>165</v>
      </c>
    </row>
    <row r="3" spans="1:15" ht="17.25" customHeight="1">
      <c r="A3" s="45"/>
    </row>
    <row r="4" spans="1:15" ht="17.25" customHeight="1">
      <c r="B4" s="587" t="s">
        <v>402</v>
      </c>
      <c r="C4" s="588"/>
      <c r="D4" s="588"/>
      <c r="E4" s="588"/>
      <c r="F4" s="588"/>
      <c r="G4" s="588"/>
      <c r="H4" s="588"/>
      <c r="I4" s="588"/>
      <c r="J4" s="588"/>
      <c r="K4" s="588"/>
      <c r="L4" s="588"/>
      <c r="M4" s="588"/>
      <c r="N4" s="589"/>
      <c r="O4" s="111"/>
    </row>
    <row r="5" spans="1:15" ht="17.25" customHeight="1">
      <c r="B5" s="9" t="s">
        <v>523</v>
      </c>
      <c r="C5" s="590" t="s">
        <v>121</v>
      </c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12"/>
    </row>
    <row r="6" spans="1:15" ht="17.25" customHeight="1">
      <c r="A6" s="45" t="s">
        <v>135</v>
      </c>
      <c r="B6" s="9" t="s">
        <v>522</v>
      </c>
      <c r="C6" s="591" t="s">
        <v>121</v>
      </c>
      <c r="D6" s="591"/>
      <c r="E6" s="591"/>
      <c r="F6" s="591"/>
      <c r="G6" s="591"/>
      <c r="H6" s="591"/>
      <c r="I6" s="591"/>
      <c r="J6" s="591"/>
      <c r="K6" s="591"/>
      <c r="L6" s="591"/>
      <c r="M6" s="591"/>
      <c r="N6" s="591"/>
      <c r="O6" s="48" t="s">
        <v>136</v>
      </c>
    </row>
    <row r="7" spans="1:15" ht="17.25" customHeight="1">
      <c r="A7" s="45" t="s">
        <v>135</v>
      </c>
      <c r="B7" s="9" t="s">
        <v>521</v>
      </c>
      <c r="C7" s="592" t="s">
        <v>121</v>
      </c>
      <c r="D7" s="592"/>
      <c r="E7" s="592"/>
      <c r="F7" s="592"/>
      <c r="G7" s="592"/>
      <c r="H7" s="592"/>
      <c r="I7" s="592"/>
      <c r="J7" s="592"/>
      <c r="K7" s="592"/>
      <c r="L7" s="592"/>
      <c r="M7" s="592"/>
      <c r="N7" s="592"/>
      <c r="O7" s="49" t="s">
        <v>136</v>
      </c>
    </row>
    <row r="8" spans="1:15" ht="17.25" customHeight="1">
      <c r="B8" s="9" t="s">
        <v>520</v>
      </c>
      <c r="C8" s="10" t="s">
        <v>121</v>
      </c>
      <c r="D8" s="593" t="s">
        <v>33</v>
      </c>
      <c r="E8" s="593"/>
      <c r="F8" s="593"/>
      <c r="G8" s="593"/>
      <c r="H8" s="593"/>
      <c r="I8" s="593"/>
      <c r="J8" s="593"/>
      <c r="K8" s="593"/>
      <c r="L8" s="593"/>
      <c r="M8" s="593"/>
      <c r="N8" s="594"/>
      <c r="O8" s="113"/>
    </row>
    <row r="9" spans="1:15" ht="17.25" customHeight="1">
      <c r="B9" s="9" t="s">
        <v>519</v>
      </c>
      <c r="C9" s="595" t="s">
        <v>122</v>
      </c>
      <c r="D9" s="596"/>
      <c r="E9" s="596"/>
      <c r="F9" s="596"/>
      <c r="G9" s="596"/>
      <c r="H9" s="596"/>
      <c r="I9" s="596"/>
      <c r="J9" s="596"/>
      <c r="K9" s="596"/>
      <c r="L9" s="596"/>
      <c r="M9" s="596"/>
      <c r="N9" s="597"/>
      <c r="O9" s="114"/>
    </row>
    <row r="10" spans="1:15" ht="17.25" customHeight="1">
      <c r="B10" s="9" t="s">
        <v>518</v>
      </c>
      <c r="C10" s="572" t="s">
        <v>123</v>
      </c>
      <c r="D10" s="572"/>
      <c r="E10" s="572"/>
      <c r="F10" s="572"/>
      <c r="G10" s="572"/>
      <c r="H10" s="572"/>
      <c r="I10" s="572"/>
      <c r="J10" s="572"/>
      <c r="K10" s="572"/>
      <c r="L10" s="572"/>
      <c r="M10" s="572"/>
      <c r="N10" s="572"/>
      <c r="O10" s="115"/>
    </row>
    <row r="11" spans="1:15" ht="17.25" customHeight="1">
      <c r="B11" s="11" t="s">
        <v>517</v>
      </c>
      <c r="C11" s="573" t="s">
        <v>406</v>
      </c>
      <c r="D11" s="574"/>
      <c r="E11" s="574"/>
      <c r="F11" s="574"/>
      <c r="G11" s="574"/>
      <c r="H11" s="574"/>
      <c r="I11" s="574"/>
      <c r="J11" s="574"/>
      <c r="K11" s="574"/>
      <c r="L11" s="574"/>
      <c r="M11" s="574"/>
      <c r="N11" s="575"/>
      <c r="O11" s="115"/>
    </row>
    <row r="12" spans="1:15" ht="17.25" customHeight="1">
      <c r="B12" s="11" t="s">
        <v>516</v>
      </c>
      <c r="C12" s="576" t="s">
        <v>515</v>
      </c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578"/>
      <c r="O12" s="116"/>
    </row>
    <row r="13" spans="1:15" ht="17.25" customHeight="1">
      <c r="B13" s="559" t="s">
        <v>160</v>
      </c>
      <c r="C13" s="579" t="s">
        <v>514</v>
      </c>
      <c r="D13" s="12" t="s">
        <v>513</v>
      </c>
      <c r="E13" s="567" t="s">
        <v>121</v>
      </c>
      <c r="F13" s="567"/>
      <c r="G13" s="582" t="s">
        <v>151</v>
      </c>
      <c r="H13" s="582"/>
      <c r="I13" s="582"/>
      <c r="J13" s="582"/>
      <c r="K13" s="582"/>
      <c r="L13" s="582"/>
      <c r="M13" s="582"/>
      <c r="N13" s="582"/>
      <c r="O13" s="117"/>
    </row>
    <row r="14" spans="1:15" ht="17.25" customHeight="1">
      <c r="B14" s="568"/>
      <c r="C14" s="580"/>
      <c r="D14" s="13" t="s">
        <v>512</v>
      </c>
      <c r="E14" s="567" t="s">
        <v>121</v>
      </c>
      <c r="F14" s="567"/>
      <c r="G14" s="583" t="s">
        <v>42</v>
      </c>
      <c r="H14" s="583"/>
      <c r="I14" s="583"/>
      <c r="J14" s="583"/>
      <c r="K14" s="583"/>
      <c r="L14" s="583"/>
      <c r="M14" s="583"/>
      <c r="N14" s="583"/>
      <c r="O14" s="117"/>
    </row>
    <row r="15" spans="1:15" ht="17.25" customHeight="1">
      <c r="B15" s="568"/>
      <c r="C15" s="580"/>
      <c r="D15" s="13" t="s">
        <v>511</v>
      </c>
      <c r="E15" s="567" t="s">
        <v>121</v>
      </c>
      <c r="F15" s="567"/>
      <c r="G15" s="584" t="s">
        <v>170</v>
      </c>
      <c r="H15" s="585"/>
      <c r="I15" s="585"/>
      <c r="J15" s="585"/>
      <c r="K15" s="585"/>
      <c r="L15" s="585"/>
      <c r="M15" s="585"/>
      <c r="N15" s="586"/>
      <c r="O15" s="117"/>
    </row>
    <row r="16" spans="1:15" ht="17.25" customHeight="1">
      <c r="B16" s="568"/>
      <c r="C16" s="581"/>
      <c r="D16" s="13" t="s">
        <v>510</v>
      </c>
      <c r="E16" s="567" t="s">
        <v>121</v>
      </c>
      <c r="F16" s="567"/>
      <c r="G16" s="584" t="s">
        <v>200</v>
      </c>
      <c r="H16" s="585"/>
      <c r="I16" s="585"/>
      <c r="J16" s="585"/>
      <c r="K16" s="585"/>
      <c r="L16" s="585"/>
      <c r="M16" s="585"/>
      <c r="N16" s="586"/>
      <c r="O16" s="117"/>
    </row>
    <row r="17" spans="1:15" ht="17.25" customHeight="1">
      <c r="B17" s="568"/>
      <c r="C17" s="579" t="s">
        <v>45</v>
      </c>
      <c r="D17" s="13" t="s">
        <v>509</v>
      </c>
      <c r="E17" s="567" t="s">
        <v>121</v>
      </c>
      <c r="F17" s="567"/>
      <c r="G17" s="561" t="s">
        <v>47</v>
      </c>
      <c r="H17" s="562"/>
      <c r="I17" s="562"/>
      <c r="J17" s="562"/>
      <c r="K17" s="562"/>
      <c r="L17" s="562"/>
      <c r="M17" s="562"/>
      <c r="N17" s="563"/>
      <c r="O17" s="117"/>
    </row>
    <row r="18" spans="1:15" ht="17.25" customHeight="1">
      <c r="B18" s="568"/>
      <c r="C18" s="581"/>
      <c r="D18" s="13" t="s">
        <v>508</v>
      </c>
      <c r="E18" s="567" t="s">
        <v>121</v>
      </c>
      <c r="F18" s="567"/>
      <c r="G18" s="564"/>
      <c r="H18" s="565"/>
      <c r="I18" s="565"/>
      <c r="J18" s="565"/>
      <c r="K18" s="565"/>
      <c r="L18" s="565"/>
      <c r="M18" s="565"/>
      <c r="N18" s="566"/>
      <c r="O18" s="117"/>
    </row>
    <row r="19" spans="1:15" ht="17.25" customHeight="1">
      <c r="B19" s="568"/>
      <c r="C19" s="579" t="s">
        <v>507</v>
      </c>
      <c r="D19" s="13" t="s">
        <v>506</v>
      </c>
      <c r="E19" s="567" t="s">
        <v>121</v>
      </c>
      <c r="F19" s="567"/>
      <c r="G19" s="561" t="s">
        <v>423</v>
      </c>
      <c r="H19" s="562"/>
      <c r="I19" s="562"/>
      <c r="J19" s="562"/>
      <c r="K19" s="562"/>
      <c r="L19" s="562"/>
      <c r="M19" s="562"/>
      <c r="N19" s="563"/>
      <c r="O19" s="117"/>
    </row>
    <row r="20" spans="1:15" ht="17.25" customHeight="1">
      <c r="B20" s="560"/>
      <c r="C20" s="581"/>
      <c r="D20" s="13" t="s">
        <v>505</v>
      </c>
      <c r="E20" s="567" t="s">
        <v>121</v>
      </c>
      <c r="F20" s="567"/>
      <c r="G20" s="564"/>
      <c r="H20" s="565"/>
      <c r="I20" s="565"/>
      <c r="J20" s="565"/>
      <c r="K20" s="565"/>
      <c r="L20" s="565"/>
      <c r="M20" s="565"/>
      <c r="N20" s="566"/>
      <c r="O20" s="117"/>
    </row>
    <row r="21" spans="1:15" ht="17.25" customHeight="1">
      <c r="B21" s="559" t="s">
        <v>504</v>
      </c>
      <c r="C21" s="569"/>
      <c r="D21" s="570"/>
      <c r="E21" s="571" t="s">
        <v>408</v>
      </c>
      <c r="F21" s="571"/>
      <c r="G21" s="571"/>
      <c r="H21" s="571"/>
      <c r="I21" s="571" t="s">
        <v>409</v>
      </c>
      <c r="J21" s="571"/>
      <c r="K21" s="571"/>
      <c r="L21" s="571"/>
      <c r="M21" s="14" t="s">
        <v>55</v>
      </c>
      <c r="N21" s="14" t="s">
        <v>56</v>
      </c>
      <c r="O21" s="118"/>
    </row>
    <row r="22" spans="1:15" ht="17.25" customHeight="1">
      <c r="B22" s="568"/>
      <c r="C22" s="552" t="s">
        <v>503</v>
      </c>
      <c r="D22" s="553"/>
      <c r="E22" s="554" t="s">
        <v>124</v>
      </c>
      <c r="F22" s="555"/>
      <c r="G22" s="15" t="s">
        <v>125</v>
      </c>
      <c r="H22" s="16" t="s">
        <v>126</v>
      </c>
      <c r="I22" s="554" t="s">
        <v>124</v>
      </c>
      <c r="J22" s="555"/>
      <c r="K22" s="15" t="s">
        <v>125</v>
      </c>
      <c r="L22" s="16" t="s">
        <v>126</v>
      </c>
      <c r="M22" s="551" t="s">
        <v>410</v>
      </c>
      <c r="N22" s="551" t="s">
        <v>58</v>
      </c>
      <c r="O22" s="119"/>
    </row>
    <row r="23" spans="1:15" ht="17.25" customHeight="1">
      <c r="B23" s="560"/>
      <c r="C23" s="552" t="s">
        <v>502</v>
      </c>
      <c r="D23" s="553"/>
      <c r="E23" s="554" t="s">
        <v>124</v>
      </c>
      <c r="F23" s="555"/>
      <c r="G23" s="15" t="s">
        <v>125</v>
      </c>
      <c r="H23" s="16" t="s">
        <v>126</v>
      </c>
      <c r="I23" s="554" t="s">
        <v>124</v>
      </c>
      <c r="J23" s="555"/>
      <c r="K23" s="15" t="s">
        <v>125</v>
      </c>
      <c r="L23" s="16" t="s">
        <v>126</v>
      </c>
      <c r="M23" s="551"/>
      <c r="N23" s="551"/>
      <c r="O23" s="119"/>
    </row>
    <row r="24" spans="1:15" ht="17.25" customHeight="1">
      <c r="B24" s="559" t="s">
        <v>501</v>
      </c>
      <c r="C24" s="552" t="s">
        <v>500</v>
      </c>
      <c r="D24" s="553"/>
      <c r="E24" s="163" t="s">
        <v>62</v>
      </c>
      <c r="F24" s="163"/>
      <c r="G24" s="163"/>
      <c r="H24" s="163"/>
      <c r="I24" s="163"/>
      <c r="J24" s="163"/>
      <c r="K24" s="163"/>
      <c r="L24" s="163"/>
      <c r="M24" s="163"/>
      <c r="N24" s="163"/>
      <c r="O24" s="120"/>
    </row>
    <row r="25" spans="1:15" ht="17.25" customHeight="1">
      <c r="B25" s="560"/>
      <c r="C25" s="552" t="s">
        <v>499</v>
      </c>
      <c r="D25" s="553"/>
      <c r="E25" s="163" t="s">
        <v>128</v>
      </c>
      <c r="F25" s="164"/>
      <c r="G25" s="164"/>
      <c r="H25" s="164"/>
      <c r="I25" s="164"/>
      <c r="J25" s="164"/>
      <c r="K25" s="164"/>
      <c r="L25" s="164"/>
      <c r="M25" s="164"/>
      <c r="N25" s="164"/>
      <c r="O25" s="120"/>
    </row>
    <row r="26" spans="1:15" s="8" customFormat="1" ht="17.25" customHeight="1">
      <c r="A26" s="45" t="s">
        <v>135</v>
      </c>
      <c r="E26" s="39"/>
      <c r="I26" s="39"/>
      <c r="O26" s="45" t="s">
        <v>136</v>
      </c>
    </row>
    <row r="27" spans="1:15" ht="17.25" customHeight="1">
      <c r="B27" s="148" t="s">
        <v>498</v>
      </c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50"/>
      <c r="O27" s="121"/>
    </row>
    <row r="28" spans="1:15" ht="17.25" customHeight="1">
      <c r="B28" s="556" t="s">
        <v>167</v>
      </c>
      <c r="C28" s="557"/>
      <c r="D28" s="557"/>
      <c r="E28" s="557"/>
      <c r="F28" s="557"/>
      <c r="G28" s="557"/>
      <c r="H28" s="557"/>
      <c r="I28" s="557"/>
      <c r="J28" s="557"/>
      <c r="K28" s="557"/>
      <c r="L28" s="557"/>
      <c r="M28" s="557"/>
      <c r="N28" s="558"/>
      <c r="O28" s="122"/>
    </row>
    <row r="29" spans="1:15" ht="17.25" customHeight="1">
      <c r="B29" s="520" t="s">
        <v>464</v>
      </c>
      <c r="C29" s="521"/>
      <c r="D29" s="522"/>
      <c r="E29" s="520" t="s">
        <v>412</v>
      </c>
      <c r="F29" s="521"/>
      <c r="G29" s="521"/>
      <c r="H29" s="522"/>
      <c r="I29" s="520" t="s">
        <v>413</v>
      </c>
      <c r="J29" s="521"/>
      <c r="K29" s="521"/>
      <c r="L29" s="522"/>
      <c r="M29" s="17" t="s">
        <v>461</v>
      </c>
      <c r="N29" s="17" t="s">
        <v>460</v>
      </c>
      <c r="O29" s="123"/>
    </row>
    <row r="30" spans="1:15" ht="17.25" customHeight="1">
      <c r="B30" s="523" t="s">
        <v>497</v>
      </c>
      <c r="C30" s="524"/>
      <c r="D30" s="525"/>
      <c r="E30" s="532">
        <v>0</v>
      </c>
      <c r="F30" s="533"/>
      <c r="G30" s="533"/>
      <c r="H30" s="534"/>
      <c r="I30" s="535">
        <v>0</v>
      </c>
      <c r="J30" s="536"/>
      <c r="K30" s="536"/>
      <c r="L30" s="537"/>
      <c r="M30" s="139"/>
      <c r="N30" s="19"/>
      <c r="O30" s="124"/>
    </row>
    <row r="31" spans="1:15" ht="17.25" customHeight="1">
      <c r="B31" s="526"/>
      <c r="C31" s="527"/>
      <c r="D31" s="528"/>
      <c r="E31" s="32" t="s">
        <v>496</v>
      </c>
      <c r="F31" s="538">
        <v>0</v>
      </c>
      <c r="G31" s="538"/>
      <c r="H31" s="539"/>
      <c r="I31" s="32" t="s">
        <v>496</v>
      </c>
      <c r="J31" s="512" t="s">
        <v>129</v>
      </c>
      <c r="K31" s="512"/>
      <c r="L31" s="513"/>
      <c r="M31" s="20" t="s">
        <v>495</v>
      </c>
      <c r="N31" s="20" t="s">
        <v>494</v>
      </c>
      <c r="O31" s="124"/>
    </row>
    <row r="32" spans="1:15" ht="17.25" customHeight="1">
      <c r="B32" s="526"/>
      <c r="C32" s="527"/>
      <c r="D32" s="528"/>
      <c r="E32" s="32" t="s">
        <v>69</v>
      </c>
      <c r="F32" s="540">
        <v>0</v>
      </c>
      <c r="G32" s="540"/>
      <c r="H32" s="541"/>
      <c r="I32" s="32" t="s">
        <v>69</v>
      </c>
      <c r="J32" s="512" t="s">
        <v>130</v>
      </c>
      <c r="K32" s="512"/>
      <c r="L32" s="513"/>
      <c r="M32" s="407" t="s">
        <v>493</v>
      </c>
      <c r="N32" s="407" t="s">
        <v>71</v>
      </c>
      <c r="O32" s="124"/>
    </row>
    <row r="33" spans="2:16" ht="17.25" customHeight="1">
      <c r="B33" s="526"/>
      <c r="C33" s="527"/>
      <c r="D33" s="528"/>
      <c r="E33" s="32" t="s">
        <v>72</v>
      </c>
      <c r="F33" s="514">
        <v>0</v>
      </c>
      <c r="G33" s="514"/>
      <c r="H33" s="515"/>
      <c r="I33" s="32" t="s">
        <v>72</v>
      </c>
      <c r="J33" s="379">
        <v>0</v>
      </c>
      <c r="K33" s="379"/>
      <c r="L33" s="380"/>
      <c r="M33" s="407"/>
      <c r="N33" s="407"/>
      <c r="O33" s="124"/>
    </row>
    <row r="34" spans="2:16" ht="17.25" customHeight="1">
      <c r="B34" s="526"/>
      <c r="C34" s="527"/>
      <c r="D34" s="528"/>
      <c r="E34" s="32" t="s">
        <v>73</v>
      </c>
      <c r="F34" s="516">
        <v>0</v>
      </c>
      <c r="G34" s="516"/>
      <c r="H34" s="517"/>
      <c r="I34" s="32" t="s">
        <v>73</v>
      </c>
      <c r="J34" s="518">
        <v>0</v>
      </c>
      <c r="K34" s="518"/>
      <c r="L34" s="519"/>
      <c r="M34" s="357" t="s">
        <v>492</v>
      </c>
      <c r="N34" s="357" t="s">
        <v>491</v>
      </c>
      <c r="O34" s="124"/>
    </row>
    <row r="35" spans="2:16" ht="17.25" customHeight="1">
      <c r="B35" s="526"/>
      <c r="C35" s="527"/>
      <c r="D35" s="528"/>
      <c r="E35" s="32" t="s">
        <v>76</v>
      </c>
      <c r="F35" s="487">
        <v>0</v>
      </c>
      <c r="G35" s="487"/>
      <c r="H35" s="488"/>
      <c r="I35" s="542" t="s">
        <v>169</v>
      </c>
      <c r="J35" s="543"/>
      <c r="K35" s="543"/>
      <c r="L35" s="544"/>
      <c r="M35" s="357"/>
      <c r="N35" s="357"/>
      <c r="O35" s="124"/>
    </row>
    <row r="36" spans="2:16" ht="17.25" customHeight="1">
      <c r="B36" s="526"/>
      <c r="C36" s="527"/>
      <c r="D36" s="528"/>
      <c r="E36" s="32" t="s">
        <v>467</v>
      </c>
      <c r="F36" s="508">
        <v>0</v>
      </c>
      <c r="G36" s="508"/>
      <c r="H36" s="509"/>
      <c r="I36" s="545"/>
      <c r="J36" s="546"/>
      <c r="K36" s="546"/>
      <c r="L36" s="547"/>
      <c r="M36" s="357"/>
      <c r="N36" s="357"/>
      <c r="O36" s="124"/>
    </row>
    <row r="37" spans="2:16" ht="17.25" customHeight="1">
      <c r="B37" s="529"/>
      <c r="C37" s="530"/>
      <c r="D37" s="531"/>
      <c r="E37" s="32" t="s">
        <v>490</v>
      </c>
      <c r="F37" s="510">
        <v>0</v>
      </c>
      <c r="G37" s="510"/>
      <c r="H37" s="511"/>
      <c r="I37" s="548"/>
      <c r="J37" s="549"/>
      <c r="K37" s="549"/>
      <c r="L37" s="550"/>
      <c r="M37" s="21"/>
      <c r="N37" s="135"/>
      <c r="O37" s="124"/>
    </row>
    <row r="38" spans="2:16" ht="17.25" customHeight="1">
      <c r="B38" s="443" t="s">
        <v>489</v>
      </c>
      <c r="C38" s="444"/>
      <c r="D38" s="445"/>
      <c r="E38" s="452">
        <v>0</v>
      </c>
      <c r="F38" s="453"/>
      <c r="G38" s="453"/>
      <c r="H38" s="454"/>
      <c r="I38" s="455">
        <v>0</v>
      </c>
      <c r="J38" s="456"/>
      <c r="K38" s="456"/>
      <c r="L38" s="457"/>
      <c r="M38" s="407" t="s">
        <v>488</v>
      </c>
      <c r="N38" s="467" t="s">
        <v>487</v>
      </c>
      <c r="O38" s="124"/>
    </row>
    <row r="39" spans="2:16" ht="17.25" customHeight="1">
      <c r="B39" s="446"/>
      <c r="C39" s="447"/>
      <c r="D39" s="448"/>
      <c r="E39" s="35" t="s">
        <v>66</v>
      </c>
      <c r="F39" s="468">
        <v>0</v>
      </c>
      <c r="G39" s="468"/>
      <c r="H39" s="469"/>
      <c r="I39" s="33" t="s">
        <v>66</v>
      </c>
      <c r="J39" s="470">
        <v>0</v>
      </c>
      <c r="K39" s="470"/>
      <c r="L39" s="471"/>
      <c r="M39" s="407"/>
      <c r="N39" s="467"/>
      <c r="O39" s="124"/>
    </row>
    <row r="40" spans="2:16" ht="17.25" customHeight="1">
      <c r="B40" s="446"/>
      <c r="C40" s="447"/>
      <c r="D40" s="448"/>
      <c r="E40" s="35" t="s">
        <v>69</v>
      </c>
      <c r="F40" s="472">
        <v>0</v>
      </c>
      <c r="G40" s="472"/>
      <c r="H40" s="473"/>
      <c r="I40" s="474" t="s">
        <v>486</v>
      </c>
      <c r="J40" s="475"/>
      <c r="K40" s="475"/>
      <c r="L40" s="476"/>
      <c r="M40" s="407"/>
      <c r="N40" s="467"/>
      <c r="O40" s="124"/>
    </row>
    <row r="41" spans="2:16" ht="17.25" customHeight="1">
      <c r="B41" s="446"/>
      <c r="C41" s="447"/>
      <c r="D41" s="448"/>
      <c r="E41" s="35" t="s">
        <v>72</v>
      </c>
      <c r="F41" s="483">
        <v>0</v>
      </c>
      <c r="G41" s="483"/>
      <c r="H41" s="484"/>
      <c r="I41" s="477"/>
      <c r="J41" s="478"/>
      <c r="K41" s="478"/>
      <c r="L41" s="479"/>
      <c r="M41" s="23"/>
      <c r="N41" s="23"/>
      <c r="O41" s="124"/>
    </row>
    <row r="42" spans="2:16" ht="17.25" customHeight="1">
      <c r="B42" s="446"/>
      <c r="C42" s="447"/>
      <c r="D42" s="448"/>
      <c r="E42" s="35" t="s">
        <v>73</v>
      </c>
      <c r="F42" s="436">
        <v>0</v>
      </c>
      <c r="G42" s="436"/>
      <c r="H42" s="437"/>
      <c r="I42" s="477"/>
      <c r="J42" s="478"/>
      <c r="K42" s="478"/>
      <c r="L42" s="479"/>
      <c r="M42" s="407" t="s">
        <v>485</v>
      </c>
      <c r="N42" s="23"/>
      <c r="O42" s="124"/>
    </row>
    <row r="43" spans="2:16" ht="17.25" customHeight="1">
      <c r="B43" s="449"/>
      <c r="C43" s="450"/>
      <c r="D43" s="451"/>
      <c r="E43" s="35" t="s">
        <v>76</v>
      </c>
      <c r="F43" s="485">
        <v>0</v>
      </c>
      <c r="G43" s="485"/>
      <c r="H43" s="486"/>
      <c r="I43" s="480"/>
      <c r="J43" s="481"/>
      <c r="K43" s="481"/>
      <c r="L43" s="482"/>
      <c r="M43" s="407"/>
      <c r="N43" s="23"/>
      <c r="O43" s="124"/>
    </row>
    <row r="44" spans="2:16" ht="17.25" customHeight="1">
      <c r="B44" s="489" t="s">
        <v>484</v>
      </c>
      <c r="C44" s="490"/>
      <c r="D44" s="491"/>
      <c r="E44" s="495">
        <v>0</v>
      </c>
      <c r="F44" s="496"/>
      <c r="G44" s="496"/>
      <c r="H44" s="497"/>
      <c r="I44" s="498" t="s">
        <v>483</v>
      </c>
      <c r="J44" s="499"/>
      <c r="K44" s="499"/>
      <c r="L44" s="500"/>
      <c r="M44" s="407"/>
      <c r="N44" s="23"/>
      <c r="O44" s="124"/>
      <c r="P44" s="138"/>
    </row>
    <row r="45" spans="2:16" ht="17.25" customHeight="1">
      <c r="B45" s="492"/>
      <c r="C45" s="493"/>
      <c r="D45" s="494"/>
      <c r="E45" s="33" t="s">
        <v>66</v>
      </c>
      <c r="F45" s="501">
        <v>0</v>
      </c>
      <c r="G45" s="501"/>
      <c r="H45" s="502"/>
      <c r="I45" s="503" t="s">
        <v>482</v>
      </c>
      <c r="J45" s="504"/>
      <c r="K45" s="504"/>
      <c r="L45" s="505"/>
      <c r="M45" s="136" t="s">
        <v>481</v>
      </c>
      <c r="N45" s="137" t="s">
        <v>481</v>
      </c>
      <c r="O45" s="124"/>
    </row>
    <row r="46" spans="2:16" ht="17.25" customHeight="1">
      <c r="B46" s="492"/>
      <c r="C46" s="493"/>
      <c r="D46" s="494"/>
      <c r="E46" s="33" t="s">
        <v>69</v>
      </c>
      <c r="F46" s="506" t="s">
        <v>428</v>
      </c>
      <c r="G46" s="506"/>
      <c r="H46" s="507"/>
      <c r="I46" s="503" t="s">
        <v>429</v>
      </c>
      <c r="J46" s="504"/>
      <c r="K46" s="504"/>
      <c r="L46" s="505"/>
      <c r="M46" s="20" t="s">
        <v>480</v>
      </c>
      <c r="N46" s="20" t="s">
        <v>479</v>
      </c>
      <c r="O46" s="124"/>
    </row>
    <row r="47" spans="2:16" ht="17.25" customHeight="1">
      <c r="B47" s="458" t="s">
        <v>478</v>
      </c>
      <c r="C47" s="459"/>
      <c r="D47" s="460"/>
      <c r="E47" s="33" t="s">
        <v>72</v>
      </c>
      <c r="F47" s="464" t="s">
        <v>431</v>
      </c>
      <c r="G47" s="464"/>
      <c r="H47" s="465"/>
      <c r="I47" s="466" t="s">
        <v>432</v>
      </c>
      <c r="J47" s="466"/>
      <c r="K47" s="466"/>
      <c r="L47" s="466"/>
      <c r="M47" s="407" t="s">
        <v>477</v>
      </c>
      <c r="N47" s="407" t="s">
        <v>476</v>
      </c>
      <c r="O47" s="124"/>
    </row>
    <row r="48" spans="2:16" ht="17.25" customHeight="1">
      <c r="B48" s="458"/>
      <c r="C48" s="459"/>
      <c r="D48" s="460"/>
      <c r="E48" s="33" t="s">
        <v>469</v>
      </c>
      <c r="F48" s="436" t="s">
        <v>433</v>
      </c>
      <c r="G48" s="436"/>
      <c r="H48" s="437"/>
      <c r="I48" s="438"/>
      <c r="J48" s="439"/>
      <c r="K48" s="439"/>
      <c r="L48" s="440"/>
      <c r="M48" s="407"/>
      <c r="N48" s="407"/>
      <c r="O48" s="124"/>
    </row>
    <row r="49" spans="1:15" ht="17.25" customHeight="1">
      <c r="B49" s="461"/>
      <c r="C49" s="462"/>
      <c r="D49" s="463"/>
      <c r="E49" s="33" t="s">
        <v>468</v>
      </c>
      <c r="F49" s="441">
        <v>0</v>
      </c>
      <c r="G49" s="441"/>
      <c r="H49" s="442"/>
      <c r="I49" s="438"/>
      <c r="J49" s="439"/>
      <c r="K49" s="439"/>
      <c r="L49" s="440"/>
      <c r="M49" s="407"/>
      <c r="N49" s="407"/>
      <c r="O49" s="124"/>
    </row>
    <row r="50" spans="1:15" ht="17.25" customHeight="1">
      <c r="B50" s="415" t="s">
        <v>475</v>
      </c>
      <c r="C50" s="416"/>
      <c r="D50" s="417"/>
      <c r="E50" s="421">
        <v>0</v>
      </c>
      <c r="F50" s="422"/>
      <c r="G50" s="422"/>
      <c r="H50" s="423"/>
      <c r="I50" s="424">
        <v>0</v>
      </c>
      <c r="J50" s="425"/>
      <c r="K50" s="425"/>
      <c r="L50" s="426"/>
      <c r="M50" s="357" t="s">
        <v>419</v>
      </c>
      <c r="N50" s="357" t="s">
        <v>474</v>
      </c>
      <c r="O50" s="124"/>
    </row>
    <row r="51" spans="1:15" ht="17.25" customHeight="1">
      <c r="B51" s="418"/>
      <c r="C51" s="419"/>
      <c r="D51" s="420"/>
      <c r="E51" s="34" t="s">
        <v>66</v>
      </c>
      <c r="F51" s="428">
        <v>0</v>
      </c>
      <c r="G51" s="428"/>
      <c r="H51" s="429"/>
      <c r="I51" s="34" t="s">
        <v>66</v>
      </c>
      <c r="J51" s="430">
        <v>0</v>
      </c>
      <c r="K51" s="430"/>
      <c r="L51" s="431"/>
      <c r="M51" s="427"/>
      <c r="N51" s="357"/>
      <c r="O51" s="124"/>
    </row>
    <row r="52" spans="1:15" ht="17.25" customHeight="1">
      <c r="B52" s="418"/>
      <c r="C52" s="419"/>
      <c r="D52" s="420"/>
      <c r="E52" s="34" t="s">
        <v>69</v>
      </c>
      <c r="F52" s="432">
        <v>0</v>
      </c>
      <c r="G52" s="432"/>
      <c r="H52" s="433"/>
      <c r="I52" s="34" t="s">
        <v>473</v>
      </c>
      <c r="J52" s="434">
        <v>0</v>
      </c>
      <c r="K52" s="434"/>
      <c r="L52" s="435"/>
      <c r="M52" s="136"/>
      <c r="N52" s="21"/>
      <c r="O52" s="124"/>
    </row>
    <row r="53" spans="1:15" ht="17.25" customHeight="1">
      <c r="B53" s="390" t="s">
        <v>472</v>
      </c>
      <c r="C53" s="391"/>
      <c r="D53" s="392"/>
      <c r="E53" s="34" t="s">
        <v>72</v>
      </c>
      <c r="F53" s="396">
        <v>0</v>
      </c>
      <c r="G53" s="396"/>
      <c r="H53" s="397"/>
      <c r="I53" s="398" t="s">
        <v>471</v>
      </c>
      <c r="J53" s="399"/>
      <c r="K53" s="399"/>
      <c r="L53" s="400"/>
      <c r="M53" s="407" t="s">
        <v>186</v>
      </c>
      <c r="N53" s="408" t="s">
        <v>470</v>
      </c>
      <c r="O53" s="124"/>
    </row>
    <row r="54" spans="1:15" ht="17.25" customHeight="1">
      <c r="B54" s="390"/>
      <c r="C54" s="391"/>
      <c r="D54" s="392"/>
      <c r="E54" s="34" t="s">
        <v>469</v>
      </c>
      <c r="F54" s="409">
        <v>0</v>
      </c>
      <c r="G54" s="409"/>
      <c r="H54" s="410"/>
      <c r="I54" s="401"/>
      <c r="J54" s="402"/>
      <c r="K54" s="402"/>
      <c r="L54" s="403"/>
      <c r="M54" s="407"/>
      <c r="N54" s="408"/>
      <c r="O54" s="124"/>
    </row>
    <row r="55" spans="1:15" ht="17.25" customHeight="1">
      <c r="B55" s="390"/>
      <c r="C55" s="391"/>
      <c r="D55" s="392"/>
      <c r="E55" s="34" t="s">
        <v>468</v>
      </c>
      <c r="F55" s="411">
        <v>0</v>
      </c>
      <c r="G55" s="411"/>
      <c r="H55" s="412"/>
      <c r="I55" s="401"/>
      <c r="J55" s="402"/>
      <c r="K55" s="402"/>
      <c r="L55" s="403"/>
      <c r="M55" s="357" t="s">
        <v>187</v>
      </c>
      <c r="N55" s="26"/>
      <c r="O55" s="124"/>
    </row>
    <row r="56" spans="1:15" ht="17.25" customHeight="1">
      <c r="B56" s="393"/>
      <c r="C56" s="394"/>
      <c r="D56" s="395"/>
      <c r="E56" s="34" t="s">
        <v>467</v>
      </c>
      <c r="F56" s="413">
        <v>0</v>
      </c>
      <c r="G56" s="413"/>
      <c r="H56" s="414"/>
      <c r="I56" s="404"/>
      <c r="J56" s="405"/>
      <c r="K56" s="405"/>
      <c r="L56" s="406"/>
      <c r="M56" s="357"/>
      <c r="N56" s="26"/>
      <c r="O56" s="124"/>
    </row>
    <row r="57" spans="1:15" ht="17.25" customHeight="1">
      <c r="B57" s="367" t="s">
        <v>93</v>
      </c>
      <c r="C57" s="368"/>
      <c r="D57" s="369"/>
      <c r="E57" s="373">
        <v>0</v>
      </c>
      <c r="F57" s="374"/>
      <c r="G57" s="374"/>
      <c r="H57" s="375"/>
      <c r="I57" s="376">
        <v>0</v>
      </c>
      <c r="J57" s="377"/>
      <c r="K57" s="377"/>
      <c r="L57" s="378"/>
      <c r="M57" s="23"/>
      <c r="N57" s="135"/>
      <c r="O57" s="124"/>
    </row>
    <row r="58" spans="1:15" ht="17.25" customHeight="1">
      <c r="B58" s="370"/>
      <c r="C58" s="371"/>
      <c r="D58" s="372"/>
      <c r="E58" s="341" t="s">
        <v>182</v>
      </c>
      <c r="F58" s="342"/>
      <c r="G58" s="342"/>
      <c r="H58" s="343"/>
      <c r="I58" s="40" t="s">
        <v>66</v>
      </c>
      <c r="J58" s="379">
        <v>0</v>
      </c>
      <c r="K58" s="379"/>
      <c r="L58" s="380"/>
      <c r="M58" s="23" t="s">
        <v>94</v>
      </c>
      <c r="N58" s="26"/>
      <c r="O58" s="124"/>
    </row>
    <row r="59" spans="1:15" ht="17.25" customHeight="1">
      <c r="B59" s="381" t="s">
        <v>181</v>
      </c>
      <c r="C59" s="382"/>
      <c r="D59" s="383"/>
      <c r="E59" s="344"/>
      <c r="F59" s="345"/>
      <c r="G59" s="345"/>
      <c r="H59" s="346"/>
      <c r="I59" s="62" t="s">
        <v>69</v>
      </c>
      <c r="J59" s="388" t="s">
        <v>180</v>
      </c>
      <c r="K59" s="388"/>
      <c r="L59" s="389"/>
      <c r="M59" s="357" t="s">
        <v>466</v>
      </c>
      <c r="N59" s="26"/>
      <c r="O59" s="124"/>
    </row>
    <row r="60" spans="1:15" ht="17.25" customHeight="1">
      <c r="B60" s="384"/>
      <c r="C60" s="382"/>
      <c r="D60" s="383"/>
      <c r="E60" s="347" t="s">
        <v>183</v>
      </c>
      <c r="F60" s="348"/>
      <c r="G60" s="348"/>
      <c r="H60" s="349"/>
      <c r="I60" s="63"/>
      <c r="J60" s="350" t="s">
        <v>185</v>
      </c>
      <c r="K60" s="350"/>
      <c r="L60" s="351"/>
      <c r="M60" s="357"/>
      <c r="N60" s="135"/>
      <c r="O60" s="124"/>
    </row>
    <row r="61" spans="1:15" ht="17.25" customHeight="1">
      <c r="B61" s="385"/>
      <c r="C61" s="386"/>
      <c r="D61" s="387"/>
      <c r="E61" s="347" t="s">
        <v>184</v>
      </c>
      <c r="F61" s="348"/>
      <c r="G61" s="348"/>
      <c r="H61" s="349"/>
      <c r="I61" s="64"/>
      <c r="J61" s="352" t="s">
        <v>188</v>
      </c>
      <c r="K61" s="352"/>
      <c r="L61" s="353"/>
      <c r="M61" s="27"/>
      <c r="N61" s="27"/>
      <c r="O61" s="124"/>
    </row>
    <row r="62" spans="1:15" ht="17.25" customHeight="1">
      <c r="B62" s="358" t="s">
        <v>465</v>
      </c>
      <c r="C62" s="359"/>
      <c r="D62" s="360"/>
      <c r="E62" s="361">
        <v>0</v>
      </c>
      <c r="F62" s="362"/>
      <c r="G62" s="362"/>
      <c r="H62" s="363"/>
      <c r="I62" s="364">
        <v>0</v>
      </c>
      <c r="J62" s="365"/>
      <c r="K62" s="365"/>
      <c r="L62" s="366"/>
      <c r="M62" s="28" t="s">
        <v>454</v>
      </c>
      <c r="N62" s="28" t="s">
        <v>453</v>
      </c>
    </row>
    <row r="63" spans="1:15" s="8" customFormat="1" ht="17.25" customHeight="1">
      <c r="A63" s="45" t="s">
        <v>135</v>
      </c>
      <c r="E63" s="39"/>
      <c r="I63" s="39"/>
      <c r="O63" s="45" t="s">
        <v>136</v>
      </c>
    </row>
    <row r="64" spans="1:15" ht="17.25" customHeight="1">
      <c r="B64" s="354" t="s">
        <v>420</v>
      </c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  <c r="N64" s="356"/>
    </row>
    <row r="65" spans="2:14" ht="17.25" customHeight="1">
      <c r="B65" s="310" t="s">
        <v>167</v>
      </c>
      <c r="C65" s="311"/>
      <c r="D65" s="311"/>
      <c r="E65" s="311"/>
      <c r="F65" s="311"/>
      <c r="G65" s="311"/>
      <c r="H65" s="311"/>
      <c r="I65" s="311"/>
      <c r="J65" s="311"/>
      <c r="K65" s="311"/>
      <c r="L65" s="311"/>
      <c r="M65" s="311"/>
      <c r="N65" s="312"/>
    </row>
    <row r="66" spans="2:14" ht="17.25" customHeight="1">
      <c r="B66" s="313" t="s">
        <v>464</v>
      </c>
      <c r="C66" s="314"/>
      <c r="D66" s="315"/>
      <c r="E66" s="313" t="s">
        <v>463</v>
      </c>
      <c r="F66" s="314"/>
      <c r="G66" s="314"/>
      <c r="H66" s="315"/>
      <c r="I66" s="313" t="s">
        <v>462</v>
      </c>
      <c r="J66" s="314"/>
      <c r="K66" s="314"/>
      <c r="L66" s="315"/>
      <c r="M66" s="30" t="s">
        <v>461</v>
      </c>
      <c r="N66" s="30" t="s">
        <v>460</v>
      </c>
    </row>
    <row r="67" spans="2:14" ht="17.25" customHeight="1">
      <c r="B67" s="316" t="s">
        <v>459</v>
      </c>
      <c r="C67" s="317"/>
      <c r="D67" s="318"/>
      <c r="E67" s="325">
        <v>0</v>
      </c>
      <c r="F67" s="326"/>
      <c r="G67" s="326"/>
      <c r="H67" s="327"/>
      <c r="I67" s="328">
        <v>0</v>
      </c>
      <c r="J67" s="329"/>
      <c r="K67" s="329"/>
      <c r="L67" s="330"/>
      <c r="M67" s="331" t="s">
        <v>458</v>
      </c>
      <c r="N67" s="334" t="s">
        <v>458</v>
      </c>
    </row>
    <row r="68" spans="2:14" ht="17.25" customHeight="1">
      <c r="B68" s="319"/>
      <c r="C68" s="320"/>
      <c r="D68" s="321"/>
      <c r="E68" s="36" t="s">
        <v>66</v>
      </c>
      <c r="F68" s="300">
        <v>0</v>
      </c>
      <c r="G68" s="300"/>
      <c r="H68" s="301"/>
      <c r="I68" s="36" t="s">
        <v>66</v>
      </c>
      <c r="J68" s="302" t="s">
        <v>129</v>
      </c>
      <c r="K68" s="302"/>
      <c r="L68" s="303"/>
      <c r="M68" s="332"/>
      <c r="N68" s="335"/>
    </row>
    <row r="69" spans="2:14" ht="17.25" customHeight="1">
      <c r="B69" s="319"/>
      <c r="C69" s="320"/>
      <c r="D69" s="321"/>
      <c r="E69" s="36" t="s">
        <v>69</v>
      </c>
      <c r="F69" s="304">
        <v>0</v>
      </c>
      <c r="G69" s="304"/>
      <c r="H69" s="305"/>
      <c r="I69" s="36" t="s">
        <v>69</v>
      </c>
      <c r="J69" s="302" t="s">
        <v>130</v>
      </c>
      <c r="K69" s="302"/>
      <c r="L69" s="303"/>
      <c r="M69" s="332"/>
      <c r="N69" s="335"/>
    </row>
    <row r="70" spans="2:14" ht="17.25" customHeight="1">
      <c r="B70" s="319"/>
      <c r="C70" s="320"/>
      <c r="D70" s="321"/>
      <c r="E70" s="36" t="s">
        <v>72</v>
      </c>
      <c r="F70" s="306">
        <v>0</v>
      </c>
      <c r="G70" s="306"/>
      <c r="H70" s="307"/>
      <c r="I70" s="36" t="s">
        <v>72</v>
      </c>
      <c r="J70" s="308">
        <v>0</v>
      </c>
      <c r="K70" s="308"/>
      <c r="L70" s="309"/>
      <c r="M70" s="332"/>
      <c r="N70" s="335"/>
    </row>
    <row r="71" spans="2:14" ht="17.25" customHeight="1">
      <c r="B71" s="319"/>
      <c r="C71" s="320"/>
      <c r="D71" s="321"/>
      <c r="E71" s="36" t="s">
        <v>73</v>
      </c>
      <c r="F71" s="337">
        <v>0</v>
      </c>
      <c r="G71" s="337"/>
      <c r="H71" s="338"/>
      <c r="I71" s="36" t="s">
        <v>73</v>
      </c>
      <c r="J71" s="339">
        <v>0</v>
      </c>
      <c r="K71" s="339"/>
      <c r="L71" s="340"/>
      <c r="M71" s="332"/>
      <c r="N71" s="335"/>
    </row>
    <row r="72" spans="2:14" ht="17.25" customHeight="1">
      <c r="B72" s="319"/>
      <c r="C72" s="320"/>
      <c r="D72" s="321"/>
      <c r="E72" s="36" t="s">
        <v>76</v>
      </c>
      <c r="F72" s="285">
        <v>0</v>
      </c>
      <c r="G72" s="285"/>
      <c r="H72" s="286"/>
      <c r="I72" s="287" t="s">
        <v>101</v>
      </c>
      <c r="J72" s="288"/>
      <c r="K72" s="288"/>
      <c r="L72" s="289"/>
      <c r="M72" s="332"/>
      <c r="N72" s="335"/>
    </row>
    <row r="73" spans="2:14" ht="17.25" customHeight="1">
      <c r="B73" s="319"/>
      <c r="C73" s="320"/>
      <c r="D73" s="321"/>
      <c r="E73" s="36" t="s">
        <v>77</v>
      </c>
      <c r="F73" s="296">
        <v>0</v>
      </c>
      <c r="G73" s="296"/>
      <c r="H73" s="297"/>
      <c r="I73" s="290"/>
      <c r="J73" s="291"/>
      <c r="K73" s="291"/>
      <c r="L73" s="292"/>
      <c r="M73" s="332"/>
      <c r="N73" s="335"/>
    </row>
    <row r="74" spans="2:14" ht="17.25" customHeight="1">
      <c r="B74" s="322"/>
      <c r="C74" s="323"/>
      <c r="D74" s="324"/>
      <c r="E74" s="36" t="s">
        <v>78</v>
      </c>
      <c r="F74" s="298">
        <v>0</v>
      </c>
      <c r="G74" s="298"/>
      <c r="H74" s="299"/>
      <c r="I74" s="293"/>
      <c r="J74" s="294"/>
      <c r="K74" s="294"/>
      <c r="L74" s="295"/>
      <c r="M74" s="332"/>
      <c r="N74" s="335"/>
    </row>
    <row r="75" spans="2:14" ht="17.25" customHeight="1">
      <c r="B75" s="249" t="s">
        <v>457</v>
      </c>
      <c r="C75" s="250"/>
      <c r="D75" s="251"/>
      <c r="E75" s="258">
        <v>0</v>
      </c>
      <c r="F75" s="259"/>
      <c r="G75" s="259"/>
      <c r="H75" s="260"/>
      <c r="I75" s="261">
        <v>0</v>
      </c>
      <c r="J75" s="262"/>
      <c r="K75" s="262"/>
      <c r="L75" s="263"/>
      <c r="M75" s="332"/>
      <c r="N75" s="335"/>
    </row>
    <row r="76" spans="2:14" ht="17.25" customHeight="1">
      <c r="B76" s="252"/>
      <c r="C76" s="253"/>
      <c r="D76" s="254"/>
      <c r="E76" s="37" t="s">
        <v>66</v>
      </c>
      <c r="F76" s="264">
        <v>0</v>
      </c>
      <c r="G76" s="264"/>
      <c r="H76" s="265"/>
      <c r="I76" s="37" t="s">
        <v>66</v>
      </c>
      <c r="J76" s="266">
        <v>0</v>
      </c>
      <c r="K76" s="266"/>
      <c r="L76" s="267"/>
      <c r="M76" s="332"/>
      <c r="N76" s="335"/>
    </row>
    <row r="77" spans="2:14" ht="17.25" customHeight="1">
      <c r="B77" s="252"/>
      <c r="C77" s="253"/>
      <c r="D77" s="254"/>
      <c r="E77" s="37" t="s">
        <v>69</v>
      </c>
      <c r="F77" s="268">
        <v>0</v>
      </c>
      <c r="G77" s="268"/>
      <c r="H77" s="269"/>
      <c r="I77" s="270" t="s">
        <v>103</v>
      </c>
      <c r="J77" s="271"/>
      <c r="K77" s="271"/>
      <c r="L77" s="272"/>
      <c r="M77" s="332"/>
      <c r="N77" s="335"/>
    </row>
    <row r="78" spans="2:14" ht="17.25" customHeight="1">
      <c r="B78" s="252"/>
      <c r="C78" s="253"/>
      <c r="D78" s="254"/>
      <c r="E78" s="37" t="s">
        <v>72</v>
      </c>
      <c r="F78" s="279">
        <v>0</v>
      </c>
      <c r="G78" s="279"/>
      <c r="H78" s="280"/>
      <c r="I78" s="273"/>
      <c r="J78" s="274"/>
      <c r="K78" s="274"/>
      <c r="L78" s="275"/>
      <c r="M78" s="332"/>
      <c r="N78" s="335"/>
    </row>
    <row r="79" spans="2:14" ht="17.25" customHeight="1">
      <c r="B79" s="252"/>
      <c r="C79" s="253"/>
      <c r="D79" s="254"/>
      <c r="E79" s="37" t="s">
        <v>73</v>
      </c>
      <c r="F79" s="281">
        <v>0</v>
      </c>
      <c r="G79" s="281"/>
      <c r="H79" s="282"/>
      <c r="I79" s="273"/>
      <c r="J79" s="274"/>
      <c r="K79" s="274"/>
      <c r="L79" s="275"/>
      <c r="M79" s="332"/>
      <c r="N79" s="335"/>
    </row>
    <row r="80" spans="2:14" ht="17.25" customHeight="1">
      <c r="B80" s="255"/>
      <c r="C80" s="256"/>
      <c r="D80" s="257"/>
      <c r="E80" s="37" t="s">
        <v>76</v>
      </c>
      <c r="F80" s="283">
        <v>0</v>
      </c>
      <c r="G80" s="283"/>
      <c r="H80" s="284"/>
      <c r="I80" s="276"/>
      <c r="J80" s="277"/>
      <c r="K80" s="277"/>
      <c r="L80" s="278"/>
      <c r="M80" s="332"/>
      <c r="N80" s="335"/>
    </row>
    <row r="81" spans="1:15" ht="17.25" customHeight="1">
      <c r="B81" s="213" t="s">
        <v>456</v>
      </c>
      <c r="C81" s="214"/>
      <c r="D81" s="215"/>
      <c r="E81" s="222">
        <v>0</v>
      </c>
      <c r="F81" s="223"/>
      <c r="G81" s="223"/>
      <c r="H81" s="224"/>
      <c r="I81" s="225">
        <v>0</v>
      </c>
      <c r="J81" s="226"/>
      <c r="K81" s="226"/>
      <c r="L81" s="227"/>
      <c r="M81" s="332"/>
      <c r="N81" s="335"/>
    </row>
    <row r="82" spans="1:15" ht="17.25" customHeight="1">
      <c r="B82" s="216"/>
      <c r="C82" s="217"/>
      <c r="D82" s="218"/>
      <c r="E82" s="38" t="s">
        <v>66</v>
      </c>
      <c r="F82" s="228">
        <v>0</v>
      </c>
      <c r="G82" s="228"/>
      <c r="H82" s="229"/>
      <c r="I82" s="42" t="s">
        <v>66</v>
      </c>
      <c r="J82" s="230">
        <v>0</v>
      </c>
      <c r="K82" s="230"/>
      <c r="L82" s="231"/>
      <c r="M82" s="332"/>
      <c r="N82" s="335"/>
    </row>
    <row r="83" spans="1:15" ht="17.25" customHeight="1">
      <c r="B83" s="216"/>
      <c r="C83" s="217"/>
      <c r="D83" s="218"/>
      <c r="E83" s="38" t="s">
        <v>69</v>
      </c>
      <c r="F83" s="232">
        <v>0</v>
      </c>
      <c r="G83" s="232"/>
      <c r="H83" s="233"/>
      <c r="I83" s="234" t="s">
        <v>105</v>
      </c>
      <c r="J83" s="235"/>
      <c r="K83" s="235"/>
      <c r="L83" s="236"/>
      <c r="M83" s="332"/>
      <c r="N83" s="335"/>
    </row>
    <row r="84" spans="1:15" ht="17.25" customHeight="1">
      <c r="B84" s="216"/>
      <c r="C84" s="217"/>
      <c r="D84" s="218"/>
      <c r="E84" s="38" t="s">
        <v>72</v>
      </c>
      <c r="F84" s="243">
        <v>0</v>
      </c>
      <c r="G84" s="243"/>
      <c r="H84" s="244"/>
      <c r="I84" s="237"/>
      <c r="J84" s="238"/>
      <c r="K84" s="238"/>
      <c r="L84" s="239"/>
      <c r="M84" s="332"/>
      <c r="N84" s="335"/>
    </row>
    <row r="85" spans="1:15" ht="17.25" customHeight="1">
      <c r="B85" s="216"/>
      <c r="C85" s="217"/>
      <c r="D85" s="218"/>
      <c r="E85" s="38" t="s">
        <v>73</v>
      </c>
      <c r="F85" s="245">
        <v>0</v>
      </c>
      <c r="G85" s="245"/>
      <c r="H85" s="246"/>
      <c r="I85" s="237"/>
      <c r="J85" s="238"/>
      <c r="K85" s="238"/>
      <c r="L85" s="239"/>
      <c r="M85" s="332"/>
      <c r="N85" s="335"/>
    </row>
    <row r="86" spans="1:15" ht="17.25" customHeight="1">
      <c r="B86" s="219"/>
      <c r="C86" s="220"/>
      <c r="D86" s="221"/>
      <c r="E86" s="38" t="s">
        <v>76</v>
      </c>
      <c r="F86" s="247">
        <v>0</v>
      </c>
      <c r="G86" s="247"/>
      <c r="H86" s="248"/>
      <c r="I86" s="240"/>
      <c r="J86" s="241"/>
      <c r="K86" s="241"/>
      <c r="L86" s="242"/>
      <c r="M86" s="332"/>
      <c r="N86" s="335"/>
    </row>
    <row r="87" spans="1:15" ht="17.25" customHeight="1">
      <c r="B87" s="179" t="s">
        <v>155</v>
      </c>
      <c r="C87" s="180"/>
      <c r="D87" s="181"/>
      <c r="E87" s="185">
        <v>0</v>
      </c>
      <c r="F87" s="186"/>
      <c r="G87" s="186"/>
      <c r="H87" s="187"/>
      <c r="I87" s="188">
        <v>0</v>
      </c>
      <c r="J87" s="189"/>
      <c r="K87" s="189"/>
      <c r="L87" s="190"/>
      <c r="M87" s="332"/>
      <c r="N87" s="335"/>
    </row>
    <row r="88" spans="1:15" ht="17.25" customHeight="1">
      <c r="B88" s="182"/>
      <c r="C88" s="183"/>
      <c r="D88" s="184"/>
      <c r="E88" s="202" t="s">
        <v>182</v>
      </c>
      <c r="F88" s="203"/>
      <c r="G88" s="203"/>
      <c r="H88" s="204"/>
      <c r="I88" s="65" t="s">
        <v>66</v>
      </c>
      <c r="J88" s="191">
        <v>0</v>
      </c>
      <c r="K88" s="191"/>
      <c r="L88" s="192"/>
      <c r="M88" s="332"/>
      <c r="N88" s="335"/>
    </row>
    <row r="89" spans="1:15" ht="17.25" customHeight="1">
      <c r="B89" s="193" t="s">
        <v>181</v>
      </c>
      <c r="C89" s="194"/>
      <c r="D89" s="195"/>
      <c r="E89" s="205"/>
      <c r="F89" s="206"/>
      <c r="G89" s="206"/>
      <c r="H89" s="207"/>
      <c r="I89" s="66" t="s">
        <v>69</v>
      </c>
      <c r="J89" s="200" t="s">
        <v>180</v>
      </c>
      <c r="K89" s="200"/>
      <c r="L89" s="201"/>
      <c r="M89" s="332"/>
      <c r="N89" s="335"/>
    </row>
    <row r="90" spans="1:15" ht="17.25" customHeight="1">
      <c r="B90" s="196"/>
      <c r="C90" s="194"/>
      <c r="D90" s="195"/>
      <c r="E90" s="208" t="s">
        <v>183</v>
      </c>
      <c r="F90" s="209"/>
      <c r="G90" s="209"/>
      <c r="H90" s="210"/>
      <c r="I90" s="67"/>
      <c r="J90" s="211" t="s">
        <v>185</v>
      </c>
      <c r="K90" s="211"/>
      <c r="L90" s="212"/>
      <c r="M90" s="332"/>
      <c r="N90" s="335"/>
    </row>
    <row r="91" spans="1:15" ht="17.25" customHeight="1">
      <c r="B91" s="197"/>
      <c r="C91" s="198"/>
      <c r="D91" s="199"/>
      <c r="E91" s="208" t="s">
        <v>184</v>
      </c>
      <c r="F91" s="209"/>
      <c r="G91" s="209"/>
      <c r="H91" s="210"/>
      <c r="I91" s="68"/>
      <c r="J91" s="168" t="s">
        <v>188</v>
      </c>
      <c r="K91" s="168"/>
      <c r="L91" s="169"/>
      <c r="M91" s="333"/>
      <c r="N91" s="336"/>
    </row>
    <row r="92" spans="1:15" ht="17.25" customHeight="1">
      <c r="B92" s="170" t="s">
        <v>455</v>
      </c>
      <c r="C92" s="171"/>
      <c r="D92" s="172"/>
      <c r="E92" s="173">
        <v>0</v>
      </c>
      <c r="F92" s="174"/>
      <c r="G92" s="174"/>
      <c r="H92" s="175"/>
      <c r="I92" s="176">
        <v>0</v>
      </c>
      <c r="J92" s="177"/>
      <c r="K92" s="177"/>
      <c r="L92" s="178"/>
      <c r="M92" s="31" t="s">
        <v>454</v>
      </c>
      <c r="N92" s="31" t="s">
        <v>453</v>
      </c>
    </row>
    <row r="93" spans="1:15" s="8" customFormat="1" ht="17.25" customHeight="1">
      <c r="A93" s="45" t="s">
        <v>135</v>
      </c>
      <c r="E93" s="39"/>
      <c r="I93" s="39"/>
      <c r="O93" s="45" t="s">
        <v>136</v>
      </c>
    </row>
    <row r="94" spans="1:15" ht="17.25" customHeight="1">
      <c r="B94" s="148" t="s">
        <v>452</v>
      </c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50"/>
    </row>
    <row r="95" spans="1:15" ht="17.25" customHeight="1">
      <c r="B95" s="151" t="s">
        <v>451</v>
      </c>
      <c r="C95" s="152"/>
      <c r="D95" s="153"/>
      <c r="E95" s="154" t="s">
        <v>62</v>
      </c>
      <c r="F95" s="155"/>
      <c r="G95" s="155"/>
      <c r="H95" s="155"/>
      <c r="I95" s="155"/>
      <c r="J95" s="155"/>
      <c r="K95" s="155"/>
      <c r="L95" s="155"/>
      <c r="M95" s="155"/>
      <c r="N95" s="156"/>
    </row>
    <row r="96" spans="1:15" ht="17.25" customHeight="1">
      <c r="B96" s="151" t="s">
        <v>450</v>
      </c>
      <c r="C96" s="152"/>
      <c r="D96" s="153"/>
      <c r="E96" s="154" t="s">
        <v>110</v>
      </c>
      <c r="F96" s="155"/>
      <c r="G96" s="155"/>
      <c r="H96" s="155"/>
      <c r="I96" s="155"/>
      <c r="J96" s="155"/>
      <c r="K96" s="155"/>
      <c r="L96" s="155"/>
      <c r="M96" s="155"/>
      <c r="N96" s="156"/>
    </row>
    <row r="97" spans="1:15" ht="17.25" customHeight="1">
      <c r="B97" s="151" t="s">
        <v>449</v>
      </c>
      <c r="C97" s="152"/>
      <c r="D97" s="153"/>
      <c r="E97" s="154" t="s">
        <v>448</v>
      </c>
      <c r="F97" s="155"/>
      <c r="G97" s="155"/>
      <c r="H97" s="155"/>
      <c r="I97" s="155"/>
      <c r="J97" s="155"/>
      <c r="K97" s="155"/>
      <c r="L97" s="155"/>
      <c r="M97" s="155"/>
      <c r="N97" s="156"/>
    </row>
    <row r="98" spans="1:15" ht="17.25" customHeight="1">
      <c r="B98" s="151" t="s">
        <v>447</v>
      </c>
      <c r="C98" s="152"/>
      <c r="D98" s="153"/>
      <c r="E98" s="154" t="s">
        <v>158</v>
      </c>
      <c r="F98" s="155"/>
      <c r="G98" s="155"/>
      <c r="H98" s="155"/>
      <c r="I98" s="155"/>
      <c r="J98" s="155"/>
      <c r="K98" s="155"/>
      <c r="L98" s="155"/>
      <c r="M98" s="155"/>
      <c r="N98" s="156"/>
    </row>
    <row r="99" spans="1:15" s="8" customFormat="1" ht="17.25" customHeight="1">
      <c r="A99" s="45" t="s">
        <v>135</v>
      </c>
      <c r="E99" s="39"/>
      <c r="I99" s="39"/>
      <c r="O99" s="45" t="s">
        <v>136</v>
      </c>
    </row>
    <row r="100" spans="1:15" ht="17.25" customHeight="1">
      <c r="B100" s="160" t="s">
        <v>446</v>
      </c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2"/>
    </row>
    <row r="101" spans="1:15" ht="17.25" customHeight="1">
      <c r="B101" s="142" t="s">
        <v>445</v>
      </c>
      <c r="C101" s="143"/>
      <c r="D101" s="144"/>
      <c r="E101" s="163" t="s">
        <v>128</v>
      </c>
      <c r="F101" s="164"/>
      <c r="G101" s="164"/>
      <c r="H101" s="164"/>
      <c r="I101" s="164"/>
      <c r="J101" s="164"/>
      <c r="K101" s="164"/>
      <c r="L101" s="164"/>
      <c r="M101" s="164"/>
      <c r="N101" s="164"/>
    </row>
    <row r="102" spans="1:15" ht="17.25" customHeight="1">
      <c r="B102" s="142" t="s">
        <v>444</v>
      </c>
      <c r="C102" s="143"/>
      <c r="D102" s="144"/>
      <c r="E102" s="165" t="s">
        <v>443</v>
      </c>
      <c r="F102" s="166"/>
      <c r="G102" s="166"/>
      <c r="H102" s="166"/>
      <c r="I102" s="166"/>
      <c r="J102" s="166"/>
      <c r="K102" s="166"/>
      <c r="L102" s="166"/>
      <c r="M102" s="166"/>
      <c r="N102" s="167"/>
    </row>
    <row r="103" spans="1:15" ht="17.25" customHeight="1">
      <c r="B103" s="142" t="s">
        <v>442</v>
      </c>
      <c r="C103" s="143"/>
      <c r="D103" s="144"/>
      <c r="E103" s="145" t="s">
        <v>441</v>
      </c>
      <c r="F103" s="146"/>
      <c r="G103" s="146"/>
      <c r="H103" s="146"/>
      <c r="I103" s="146"/>
      <c r="J103" s="146"/>
      <c r="K103" s="146"/>
      <c r="L103" s="146"/>
      <c r="M103" s="146"/>
      <c r="N103" s="147"/>
    </row>
    <row r="104" spans="1:15" ht="17.25" customHeight="1">
      <c r="B104" s="157" t="s">
        <v>440</v>
      </c>
      <c r="C104" s="158"/>
      <c r="D104" s="159"/>
      <c r="E104" s="145" t="s">
        <v>159</v>
      </c>
      <c r="F104" s="146"/>
      <c r="G104" s="146"/>
      <c r="H104" s="146"/>
      <c r="I104" s="146"/>
      <c r="J104" s="146"/>
      <c r="K104" s="146"/>
      <c r="L104" s="146"/>
      <c r="M104" s="146"/>
      <c r="N104" s="147"/>
    </row>
    <row r="112" spans="1:15" ht="15" customHeight="1"/>
  </sheetData>
  <mergeCells count="204">
    <mergeCell ref="B4:N4"/>
    <mergeCell ref="C5:N5"/>
    <mergeCell ref="C6:N6"/>
    <mergeCell ref="C7:N7"/>
    <mergeCell ref="D8:N8"/>
    <mergeCell ref="C9:N9"/>
    <mergeCell ref="C10:N10"/>
    <mergeCell ref="C11:N11"/>
    <mergeCell ref="C12:N12"/>
    <mergeCell ref="C13:C16"/>
    <mergeCell ref="E13:F13"/>
    <mergeCell ref="G13:N13"/>
    <mergeCell ref="E14:F14"/>
    <mergeCell ref="G14:N14"/>
    <mergeCell ref="E15:F15"/>
    <mergeCell ref="G15:N15"/>
    <mergeCell ref="E16:F16"/>
    <mergeCell ref="G16:N16"/>
    <mergeCell ref="G19:N20"/>
    <mergeCell ref="E20:F20"/>
    <mergeCell ref="B21:B23"/>
    <mergeCell ref="C21:D21"/>
    <mergeCell ref="E21:H21"/>
    <mergeCell ref="I21:L21"/>
    <mergeCell ref="C22:D22"/>
    <mergeCell ref="E22:F22"/>
    <mergeCell ref="B13:B20"/>
    <mergeCell ref="I22:J22"/>
    <mergeCell ref="C17:C18"/>
    <mergeCell ref="E17:F17"/>
    <mergeCell ref="G17:N18"/>
    <mergeCell ref="E18:F18"/>
    <mergeCell ref="C19:C20"/>
    <mergeCell ref="E19:F19"/>
    <mergeCell ref="M22:M23"/>
    <mergeCell ref="N22:N23"/>
    <mergeCell ref="C23:D23"/>
    <mergeCell ref="E23:F23"/>
    <mergeCell ref="I23:J23"/>
    <mergeCell ref="B28:N28"/>
    <mergeCell ref="B24:B25"/>
    <mergeCell ref="C24:D24"/>
    <mergeCell ref="E24:N24"/>
    <mergeCell ref="C25:D25"/>
    <mergeCell ref="E25:N25"/>
    <mergeCell ref="B27:N27"/>
    <mergeCell ref="J32:L32"/>
    <mergeCell ref="M32:M33"/>
    <mergeCell ref="N32:N33"/>
    <mergeCell ref="F33:H33"/>
    <mergeCell ref="J33:L33"/>
    <mergeCell ref="F34:H34"/>
    <mergeCell ref="J34:L34"/>
    <mergeCell ref="M34:M36"/>
    <mergeCell ref="B29:D29"/>
    <mergeCell ref="E29:H29"/>
    <mergeCell ref="I29:L29"/>
    <mergeCell ref="B30:D37"/>
    <mergeCell ref="E30:H30"/>
    <mergeCell ref="I30:L30"/>
    <mergeCell ref="F31:H31"/>
    <mergeCell ref="J31:L31"/>
    <mergeCell ref="F32:H32"/>
    <mergeCell ref="I35:L37"/>
    <mergeCell ref="N34:N36"/>
    <mergeCell ref="F35:H35"/>
    <mergeCell ref="B44:D46"/>
    <mergeCell ref="E44:H44"/>
    <mergeCell ref="I44:L44"/>
    <mergeCell ref="F45:H45"/>
    <mergeCell ref="I45:L45"/>
    <mergeCell ref="F46:H46"/>
    <mergeCell ref="I46:L46"/>
    <mergeCell ref="M38:M40"/>
    <mergeCell ref="F36:H36"/>
    <mergeCell ref="F37:H37"/>
    <mergeCell ref="M47:M49"/>
    <mergeCell ref="N47:N49"/>
    <mergeCell ref="F48:H48"/>
    <mergeCell ref="I48:L48"/>
    <mergeCell ref="F49:H49"/>
    <mergeCell ref="I49:L49"/>
    <mergeCell ref="B38:D43"/>
    <mergeCell ref="E38:H38"/>
    <mergeCell ref="I38:L38"/>
    <mergeCell ref="B47:D49"/>
    <mergeCell ref="F47:H47"/>
    <mergeCell ref="I47:L47"/>
    <mergeCell ref="N38:N40"/>
    <mergeCell ref="F39:H39"/>
    <mergeCell ref="J39:L39"/>
    <mergeCell ref="F40:H40"/>
    <mergeCell ref="I40:L43"/>
    <mergeCell ref="F41:H41"/>
    <mergeCell ref="F42:H42"/>
    <mergeCell ref="M42:M44"/>
    <mergeCell ref="F43:H43"/>
    <mergeCell ref="B50:D52"/>
    <mergeCell ref="E50:H50"/>
    <mergeCell ref="I50:L50"/>
    <mergeCell ref="M50:M51"/>
    <mergeCell ref="N50:N51"/>
    <mergeCell ref="F51:H51"/>
    <mergeCell ref="J51:L51"/>
    <mergeCell ref="F52:H52"/>
    <mergeCell ref="J52:L52"/>
    <mergeCell ref="B53:D56"/>
    <mergeCell ref="F53:H53"/>
    <mergeCell ref="I53:L56"/>
    <mergeCell ref="M53:M54"/>
    <mergeCell ref="N53:N54"/>
    <mergeCell ref="F54:H54"/>
    <mergeCell ref="F55:H55"/>
    <mergeCell ref="M55:M56"/>
    <mergeCell ref="F56:H56"/>
    <mergeCell ref="E58:H59"/>
    <mergeCell ref="E60:H60"/>
    <mergeCell ref="J60:L60"/>
    <mergeCell ref="E61:H61"/>
    <mergeCell ref="J61:L61"/>
    <mergeCell ref="B64:N64"/>
    <mergeCell ref="M59:M60"/>
    <mergeCell ref="B62:D62"/>
    <mergeCell ref="E62:H62"/>
    <mergeCell ref="I62:L62"/>
    <mergeCell ref="B57:D58"/>
    <mergeCell ref="E57:H57"/>
    <mergeCell ref="I57:L57"/>
    <mergeCell ref="J58:L58"/>
    <mergeCell ref="B59:D61"/>
    <mergeCell ref="J59:L59"/>
    <mergeCell ref="B65:N65"/>
    <mergeCell ref="B66:D66"/>
    <mergeCell ref="E66:H66"/>
    <mergeCell ref="B67:D74"/>
    <mergeCell ref="E67:H67"/>
    <mergeCell ref="I67:L67"/>
    <mergeCell ref="M67:M91"/>
    <mergeCell ref="N67:N91"/>
    <mergeCell ref="F71:H71"/>
    <mergeCell ref="J71:L71"/>
    <mergeCell ref="I66:L66"/>
    <mergeCell ref="F72:H72"/>
    <mergeCell ref="I72:L74"/>
    <mergeCell ref="F73:H73"/>
    <mergeCell ref="F74:H74"/>
    <mergeCell ref="F68:H68"/>
    <mergeCell ref="J68:L68"/>
    <mergeCell ref="F69:H69"/>
    <mergeCell ref="J69:L69"/>
    <mergeCell ref="F70:H70"/>
    <mergeCell ref="J70:L70"/>
    <mergeCell ref="B75:D80"/>
    <mergeCell ref="E75:H75"/>
    <mergeCell ref="I75:L75"/>
    <mergeCell ref="F76:H76"/>
    <mergeCell ref="J76:L76"/>
    <mergeCell ref="F77:H77"/>
    <mergeCell ref="I77:L80"/>
    <mergeCell ref="F78:H78"/>
    <mergeCell ref="F79:H79"/>
    <mergeCell ref="F80:H80"/>
    <mergeCell ref="B81:D86"/>
    <mergeCell ref="E81:H81"/>
    <mergeCell ref="I81:L81"/>
    <mergeCell ref="F82:H82"/>
    <mergeCell ref="J82:L82"/>
    <mergeCell ref="F83:H83"/>
    <mergeCell ref="I83:L86"/>
    <mergeCell ref="F84:H84"/>
    <mergeCell ref="F85:H85"/>
    <mergeCell ref="F86:H86"/>
    <mergeCell ref="B87:D88"/>
    <mergeCell ref="E87:H87"/>
    <mergeCell ref="I87:L87"/>
    <mergeCell ref="J88:L88"/>
    <mergeCell ref="B89:D91"/>
    <mergeCell ref="J89:L89"/>
    <mergeCell ref="E88:H89"/>
    <mergeCell ref="E90:H90"/>
    <mergeCell ref="J90:L90"/>
    <mergeCell ref="E91:H91"/>
    <mergeCell ref="J91:L91"/>
    <mergeCell ref="B96:D96"/>
    <mergeCell ref="E96:N96"/>
    <mergeCell ref="B97:D97"/>
    <mergeCell ref="E97:N97"/>
    <mergeCell ref="B98:D98"/>
    <mergeCell ref="E98:N98"/>
    <mergeCell ref="B92:D92"/>
    <mergeCell ref="E92:H92"/>
    <mergeCell ref="I92:L92"/>
    <mergeCell ref="B103:D103"/>
    <mergeCell ref="E103:N103"/>
    <mergeCell ref="B94:N94"/>
    <mergeCell ref="B95:D95"/>
    <mergeCell ref="E95:N95"/>
    <mergeCell ref="B104:D104"/>
    <mergeCell ref="E104:N104"/>
    <mergeCell ref="B100:N100"/>
    <mergeCell ref="B101:D101"/>
    <mergeCell ref="E101:N101"/>
    <mergeCell ref="B102:D102"/>
    <mergeCell ref="E102:N102"/>
  </mergeCells>
  <conditionalFormatting sqref="C8">
    <cfRule type="cellIs" dxfId="2" priority="3" operator="lessThanOrEqual">
      <formula>21-$C$5</formula>
    </cfRule>
  </conditionalFormatting>
  <conditionalFormatting sqref="E16:F16">
    <cfRule type="cellIs" dxfId="1" priority="1" operator="greaterThan">
      <formula>0</formula>
    </cfRule>
    <cfRule type="cellIs" dxfId="0" priority="2" operator="greaterThanOrEqual">
      <formula>$C$7-70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7083-9512-3241-A3E5-93C097F3271C}">
  <dimension ref="A1:P104"/>
  <sheetViews>
    <sheetView workbookViewId="0">
      <selection activeCell="C5" sqref="C5:N5"/>
    </sheetView>
  </sheetViews>
  <sheetFormatPr baseColWidth="10" defaultColWidth="27.6640625" defaultRowHeight="17.25" customHeight="1"/>
  <cols>
    <col min="1" max="1" width="3" style="8" customWidth="1"/>
    <col min="2" max="2" width="9.5" style="8" customWidth="1"/>
    <col min="3" max="3" width="8" style="8" customWidth="1"/>
    <col min="4" max="4" width="18.33203125" style="8" customWidth="1"/>
    <col min="5" max="5" width="2" style="39" customWidth="1"/>
    <col min="6" max="6" width="7.6640625" style="8" customWidth="1"/>
    <col min="7" max="7" width="14.6640625" style="8" customWidth="1"/>
    <col min="8" max="8" width="10.6640625" style="8" customWidth="1"/>
    <col min="9" max="9" width="2" style="39" customWidth="1"/>
    <col min="10" max="10" width="7.6640625" style="8" customWidth="1"/>
    <col min="11" max="11" width="14.6640625" style="8" customWidth="1"/>
    <col min="12" max="12" width="10.6640625" style="8" customWidth="1"/>
    <col min="13" max="14" width="33.83203125" style="8" customWidth="1"/>
    <col min="15" max="15" width="3" style="8" customWidth="1"/>
    <col min="16" max="20" width="9.33203125" style="8" customWidth="1"/>
    <col min="21" max="16384" width="27.6640625" style="8"/>
  </cols>
  <sheetData>
    <row r="1" spans="1:15" ht="17.25" customHeight="1">
      <c r="A1" s="61" t="s">
        <v>166</v>
      </c>
    </row>
    <row r="2" spans="1:15" ht="17.25" customHeight="1">
      <c r="A2" s="61" t="s">
        <v>165</v>
      </c>
    </row>
    <row r="3" spans="1:15" ht="17.25" customHeight="1">
      <c r="A3" s="45"/>
    </row>
    <row r="4" spans="1:15" ht="17.25" customHeight="1">
      <c r="B4" s="587" t="s">
        <v>402</v>
      </c>
      <c r="C4" s="588"/>
      <c r="D4" s="588"/>
      <c r="E4" s="588"/>
      <c r="F4" s="588"/>
      <c r="G4" s="588"/>
      <c r="H4" s="588"/>
      <c r="I4" s="588"/>
      <c r="J4" s="588"/>
      <c r="K4" s="588"/>
      <c r="L4" s="588"/>
      <c r="M4" s="588"/>
      <c r="N4" s="589"/>
      <c r="O4" s="111"/>
    </row>
    <row r="5" spans="1:15" ht="17.25" customHeight="1">
      <c r="B5" s="9" t="s">
        <v>29</v>
      </c>
      <c r="C5" s="590" t="s">
        <v>121</v>
      </c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12"/>
    </row>
    <row r="6" spans="1:15" ht="17.25" customHeight="1">
      <c r="A6" s="45" t="s">
        <v>135</v>
      </c>
      <c r="B6" s="9" t="s">
        <v>30</v>
      </c>
      <c r="C6" s="591" t="s">
        <v>121</v>
      </c>
      <c r="D6" s="591"/>
      <c r="E6" s="591"/>
      <c r="F6" s="591"/>
      <c r="G6" s="591"/>
      <c r="H6" s="591"/>
      <c r="I6" s="591"/>
      <c r="J6" s="591"/>
      <c r="K6" s="591"/>
      <c r="L6" s="591"/>
      <c r="M6" s="591"/>
      <c r="N6" s="591"/>
      <c r="O6" s="48" t="s">
        <v>136</v>
      </c>
    </row>
    <row r="7" spans="1:15" ht="17.25" customHeight="1">
      <c r="A7" s="45" t="s">
        <v>135</v>
      </c>
      <c r="B7" s="9" t="s">
        <v>31</v>
      </c>
      <c r="C7" s="592" t="s">
        <v>121</v>
      </c>
      <c r="D7" s="592"/>
      <c r="E7" s="592"/>
      <c r="F7" s="592"/>
      <c r="G7" s="592"/>
      <c r="H7" s="592"/>
      <c r="I7" s="592"/>
      <c r="J7" s="592"/>
      <c r="K7" s="592"/>
      <c r="L7" s="592"/>
      <c r="M7" s="592"/>
      <c r="N7" s="592"/>
      <c r="O7" s="49" t="s">
        <v>136</v>
      </c>
    </row>
    <row r="8" spans="1:15" ht="17.25" customHeight="1">
      <c r="B8" s="9" t="s">
        <v>32</v>
      </c>
      <c r="C8" s="10" t="s">
        <v>121</v>
      </c>
      <c r="D8" s="593" t="s">
        <v>33</v>
      </c>
      <c r="E8" s="593"/>
      <c r="F8" s="593"/>
      <c r="G8" s="593"/>
      <c r="H8" s="593"/>
      <c r="I8" s="593"/>
      <c r="J8" s="593"/>
      <c r="K8" s="593"/>
      <c r="L8" s="593"/>
      <c r="M8" s="593"/>
      <c r="N8" s="594"/>
      <c r="O8" s="113"/>
    </row>
    <row r="9" spans="1:15" ht="17.25" customHeight="1">
      <c r="B9" s="9" t="s">
        <v>34</v>
      </c>
      <c r="C9" s="595" t="s">
        <v>122</v>
      </c>
      <c r="D9" s="596"/>
      <c r="E9" s="596"/>
      <c r="F9" s="596"/>
      <c r="G9" s="596"/>
      <c r="H9" s="596"/>
      <c r="I9" s="596"/>
      <c r="J9" s="596"/>
      <c r="K9" s="596"/>
      <c r="L9" s="596"/>
      <c r="M9" s="596"/>
      <c r="N9" s="597"/>
      <c r="O9" s="114"/>
    </row>
    <row r="10" spans="1:15" ht="17.25" customHeight="1">
      <c r="B10" s="9" t="s">
        <v>35</v>
      </c>
      <c r="C10" s="572" t="s">
        <v>123</v>
      </c>
      <c r="D10" s="572"/>
      <c r="E10" s="572"/>
      <c r="F10" s="572"/>
      <c r="G10" s="572"/>
      <c r="H10" s="572"/>
      <c r="I10" s="572"/>
      <c r="J10" s="572"/>
      <c r="K10" s="572"/>
      <c r="L10" s="572"/>
      <c r="M10" s="572"/>
      <c r="N10" s="572"/>
      <c r="O10" s="115"/>
    </row>
    <row r="11" spans="1:15" ht="17.25" customHeight="1">
      <c r="B11" s="11" t="s">
        <v>36</v>
      </c>
      <c r="C11" s="573" t="s">
        <v>406</v>
      </c>
      <c r="D11" s="574"/>
      <c r="E11" s="574"/>
      <c r="F11" s="574"/>
      <c r="G11" s="574"/>
      <c r="H11" s="574"/>
      <c r="I11" s="574"/>
      <c r="J11" s="574"/>
      <c r="K11" s="574"/>
      <c r="L11" s="574"/>
      <c r="M11" s="574"/>
      <c r="N11" s="575"/>
      <c r="O11" s="115"/>
    </row>
    <row r="12" spans="1:15" ht="17.25" customHeight="1">
      <c r="B12" s="11" t="s">
        <v>37</v>
      </c>
      <c r="C12" s="576" t="s">
        <v>528</v>
      </c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578"/>
      <c r="O12" s="116"/>
    </row>
    <row r="13" spans="1:15" ht="17.25" customHeight="1">
      <c r="B13" s="559" t="s">
        <v>160</v>
      </c>
      <c r="C13" s="579" t="s">
        <v>39</v>
      </c>
      <c r="D13" s="12" t="s">
        <v>40</v>
      </c>
      <c r="E13" s="567" t="s">
        <v>121</v>
      </c>
      <c r="F13" s="567"/>
      <c r="G13" s="582" t="s">
        <v>151</v>
      </c>
      <c r="H13" s="582"/>
      <c r="I13" s="582"/>
      <c r="J13" s="582"/>
      <c r="K13" s="582"/>
      <c r="L13" s="582"/>
      <c r="M13" s="582"/>
      <c r="N13" s="582"/>
      <c r="O13" s="117"/>
    </row>
    <row r="14" spans="1:15" ht="17.25" customHeight="1">
      <c r="B14" s="568"/>
      <c r="C14" s="580"/>
      <c r="D14" s="13" t="s">
        <v>41</v>
      </c>
      <c r="E14" s="567" t="s">
        <v>121</v>
      </c>
      <c r="F14" s="567"/>
      <c r="G14" s="583" t="s">
        <v>42</v>
      </c>
      <c r="H14" s="583"/>
      <c r="I14" s="583"/>
      <c r="J14" s="583"/>
      <c r="K14" s="583"/>
      <c r="L14" s="583"/>
      <c r="M14" s="583"/>
      <c r="N14" s="583"/>
      <c r="O14" s="117"/>
    </row>
    <row r="15" spans="1:15" ht="17.25" customHeight="1">
      <c r="B15" s="568"/>
      <c r="C15" s="580"/>
      <c r="D15" s="13" t="s">
        <v>43</v>
      </c>
      <c r="E15" s="567" t="s">
        <v>121</v>
      </c>
      <c r="F15" s="567"/>
      <c r="G15" s="584" t="s">
        <v>170</v>
      </c>
      <c r="H15" s="585"/>
      <c r="I15" s="585"/>
      <c r="J15" s="585"/>
      <c r="K15" s="585"/>
      <c r="L15" s="585"/>
      <c r="M15" s="585"/>
      <c r="N15" s="586"/>
      <c r="O15" s="117"/>
    </row>
    <row r="16" spans="1:15" ht="17.25" customHeight="1">
      <c r="B16" s="568"/>
      <c r="C16" s="581"/>
      <c r="D16" s="13" t="s">
        <v>44</v>
      </c>
      <c r="E16" s="567" t="s">
        <v>121</v>
      </c>
      <c r="F16" s="567"/>
      <c r="G16" s="584" t="s">
        <v>200</v>
      </c>
      <c r="H16" s="585"/>
      <c r="I16" s="585"/>
      <c r="J16" s="585"/>
      <c r="K16" s="585"/>
      <c r="L16" s="585"/>
      <c r="M16" s="585"/>
      <c r="N16" s="586"/>
      <c r="O16" s="117"/>
    </row>
    <row r="17" spans="1:15" ht="17.25" customHeight="1">
      <c r="B17" s="568"/>
      <c r="C17" s="579" t="s">
        <v>45</v>
      </c>
      <c r="D17" s="13" t="s">
        <v>46</v>
      </c>
      <c r="E17" s="567" t="s">
        <v>121</v>
      </c>
      <c r="F17" s="567"/>
      <c r="G17" s="561" t="s">
        <v>47</v>
      </c>
      <c r="H17" s="562"/>
      <c r="I17" s="562"/>
      <c r="J17" s="562"/>
      <c r="K17" s="562"/>
      <c r="L17" s="562"/>
      <c r="M17" s="562"/>
      <c r="N17" s="563"/>
      <c r="O17" s="117"/>
    </row>
    <row r="18" spans="1:15" ht="17.25" customHeight="1">
      <c r="B18" s="568"/>
      <c r="C18" s="581"/>
      <c r="D18" s="13" t="s">
        <v>48</v>
      </c>
      <c r="E18" s="567" t="s">
        <v>121</v>
      </c>
      <c r="F18" s="567"/>
      <c r="G18" s="564"/>
      <c r="H18" s="565"/>
      <c r="I18" s="565"/>
      <c r="J18" s="565"/>
      <c r="K18" s="565"/>
      <c r="L18" s="565"/>
      <c r="M18" s="565"/>
      <c r="N18" s="566"/>
      <c r="O18" s="117"/>
    </row>
    <row r="19" spans="1:15" ht="17.25" customHeight="1">
      <c r="B19" s="568"/>
      <c r="C19" s="579" t="s">
        <v>49</v>
      </c>
      <c r="D19" s="13" t="s">
        <v>50</v>
      </c>
      <c r="E19" s="567" t="s">
        <v>121</v>
      </c>
      <c r="F19" s="567"/>
      <c r="G19" s="561" t="s">
        <v>423</v>
      </c>
      <c r="H19" s="562"/>
      <c r="I19" s="562"/>
      <c r="J19" s="562"/>
      <c r="K19" s="562"/>
      <c r="L19" s="562"/>
      <c r="M19" s="562"/>
      <c r="N19" s="563"/>
      <c r="O19" s="117"/>
    </row>
    <row r="20" spans="1:15" ht="17.25" customHeight="1">
      <c r="B20" s="560"/>
      <c r="C20" s="581"/>
      <c r="D20" s="13" t="s">
        <v>51</v>
      </c>
      <c r="E20" s="567" t="s">
        <v>121</v>
      </c>
      <c r="F20" s="567"/>
      <c r="G20" s="564"/>
      <c r="H20" s="565"/>
      <c r="I20" s="565"/>
      <c r="J20" s="565"/>
      <c r="K20" s="565"/>
      <c r="L20" s="565"/>
      <c r="M20" s="565"/>
      <c r="N20" s="566"/>
      <c r="O20" s="117"/>
    </row>
    <row r="21" spans="1:15" ht="17.25" customHeight="1">
      <c r="B21" s="559" t="s">
        <v>52</v>
      </c>
      <c r="C21" s="569"/>
      <c r="D21" s="570"/>
      <c r="E21" s="571" t="s">
        <v>408</v>
      </c>
      <c r="F21" s="571"/>
      <c r="G21" s="571"/>
      <c r="H21" s="571"/>
      <c r="I21" s="571" t="s">
        <v>409</v>
      </c>
      <c r="J21" s="571"/>
      <c r="K21" s="571"/>
      <c r="L21" s="571"/>
      <c r="M21" s="14" t="s">
        <v>55</v>
      </c>
      <c r="N21" s="14" t="s">
        <v>56</v>
      </c>
      <c r="O21" s="118"/>
    </row>
    <row r="22" spans="1:15" ht="17.25" customHeight="1">
      <c r="B22" s="568"/>
      <c r="C22" s="552" t="s">
        <v>57</v>
      </c>
      <c r="D22" s="553"/>
      <c r="E22" s="554" t="s">
        <v>124</v>
      </c>
      <c r="F22" s="555"/>
      <c r="G22" s="15" t="s">
        <v>125</v>
      </c>
      <c r="H22" s="16" t="s">
        <v>126</v>
      </c>
      <c r="I22" s="554" t="s">
        <v>124</v>
      </c>
      <c r="J22" s="555"/>
      <c r="K22" s="15" t="s">
        <v>125</v>
      </c>
      <c r="L22" s="16" t="s">
        <v>126</v>
      </c>
      <c r="M22" s="551" t="s">
        <v>410</v>
      </c>
      <c r="N22" s="551" t="s">
        <v>58</v>
      </c>
      <c r="O22" s="119"/>
    </row>
    <row r="23" spans="1:15" ht="17.25" customHeight="1">
      <c r="B23" s="560"/>
      <c r="C23" s="552" t="s">
        <v>59</v>
      </c>
      <c r="D23" s="553"/>
      <c r="E23" s="554" t="s">
        <v>124</v>
      </c>
      <c r="F23" s="555"/>
      <c r="G23" s="15" t="s">
        <v>125</v>
      </c>
      <c r="H23" s="16" t="s">
        <v>126</v>
      </c>
      <c r="I23" s="554" t="s">
        <v>124</v>
      </c>
      <c r="J23" s="555"/>
      <c r="K23" s="15" t="s">
        <v>125</v>
      </c>
      <c r="L23" s="16" t="s">
        <v>126</v>
      </c>
      <c r="M23" s="551"/>
      <c r="N23" s="551"/>
      <c r="O23" s="119"/>
    </row>
    <row r="24" spans="1:15" ht="17.25" customHeight="1">
      <c r="B24" s="559" t="s">
        <v>60</v>
      </c>
      <c r="C24" s="552" t="s">
        <v>61</v>
      </c>
      <c r="D24" s="553"/>
      <c r="E24" s="163" t="s">
        <v>62</v>
      </c>
      <c r="F24" s="163"/>
      <c r="G24" s="163"/>
      <c r="H24" s="163"/>
      <c r="I24" s="163"/>
      <c r="J24" s="163"/>
      <c r="K24" s="163"/>
      <c r="L24" s="163"/>
      <c r="M24" s="163"/>
      <c r="N24" s="163"/>
      <c r="O24" s="120"/>
    </row>
    <row r="25" spans="1:15" ht="17.25" customHeight="1">
      <c r="B25" s="560"/>
      <c r="C25" s="552" t="s">
        <v>63</v>
      </c>
      <c r="D25" s="553"/>
      <c r="E25" s="163" t="s">
        <v>128</v>
      </c>
      <c r="F25" s="164"/>
      <c r="G25" s="164"/>
      <c r="H25" s="164"/>
      <c r="I25" s="164"/>
      <c r="J25" s="164"/>
      <c r="K25" s="164"/>
      <c r="L25" s="164"/>
      <c r="M25" s="164"/>
      <c r="N25" s="164"/>
      <c r="O25" s="120"/>
    </row>
    <row r="26" spans="1:15" ht="17.25" customHeight="1">
      <c r="A26" s="45" t="s">
        <v>135</v>
      </c>
      <c r="O26" s="45" t="s">
        <v>136</v>
      </c>
    </row>
    <row r="27" spans="1:15" ht="17.25" customHeight="1">
      <c r="B27" s="148" t="s">
        <v>411</v>
      </c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50"/>
      <c r="O27" s="121"/>
    </row>
    <row r="28" spans="1:15" ht="17.25" customHeight="1">
      <c r="B28" s="556" t="s">
        <v>167</v>
      </c>
      <c r="C28" s="557"/>
      <c r="D28" s="557"/>
      <c r="E28" s="557"/>
      <c r="F28" s="557"/>
      <c r="G28" s="557"/>
      <c r="H28" s="557"/>
      <c r="I28" s="557"/>
      <c r="J28" s="557"/>
      <c r="K28" s="557"/>
      <c r="L28" s="557"/>
      <c r="M28" s="557"/>
      <c r="N28" s="558"/>
      <c r="O28" s="122"/>
    </row>
    <row r="29" spans="1:15" ht="17.25" customHeight="1">
      <c r="B29" s="520" t="s">
        <v>64</v>
      </c>
      <c r="C29" s="521"/>
      <c r="D29" s="522"/>
      <c r="E29" s="520" t="s">
        <v>412</v>
      </c>
      <c r="F29" s="521"/>
      <c r="G29" s="521"/>
      <c r="H29" s="522"/>
      <c r="I29" s="520" t="s">
        <v>413</v>
      </c>
      <c r="J29" s="521"/>
      <c r="K29" s="521"/>
      <c r="L29" s="522"/>
      <c r="M29" s="17" t="s">
        <v>55</v>
      </c>
      <c r="N29" s="17" t="s">
        <v>56</v>
      </c>
      <c r="O29" s="123"/>
    </row>
    <row r="30" spans="1:15" ht="17.25" customHeight="1">
      <c r="B30" s="523" t="s">
        <v>424</v>
      </c>
      <c r="C30" s="524"/>
      <c r="D30" s="525"/>
      <c r="E30" s="532">
        <v>0</v>
      </c>
      <c r="F30" s="533"/>
      <c r="G30" s="533"/>
      <c r="H30" s="534"/>
      <c r="I30" s="535">
        <v>0</v>
      </c>
      <c r="J30" s="536"/>
      <c r="K30" s="536"/>
      <c r="L30" s="537"/>
      <c r="M30" s="18"/>
      <c r="N30" s="19"/>
      <c r="O30" s="124"/>
    </row>
    <row r="31" spans="1:15" ht="17.25" customHeight="1">
      <c r="B31" s="526"/>
      <c r="C31" s="527"/>
      <c r="D31" s="528"/>
      <c r="E31" s="32" t="s">
        <v>66</v>
      </c>
      <c r="F31" s="538">
        <v>0</v>
      </c>
      <c r="G31" s="538"/>
      <c r="H31" s="539"/>
      <c r="I31" s="32" t="s">
        <v>66</v>
      </c>
      <c r="J31" s="512" t="s">
        <v>129</v>
      </c>
      <c r="K31" s="512"/>
      <c r="L31" s="513"/>
      <c r="M31" s="20" t="s">
        <v>67</v>
      </c>
      <c r="N31" s="20" t="s">
        <v>68</v>
      </c>
      <c r="O31" s="124"/>
    </row>
    <row r="32" spans="1:15" ht="17.25" customHeight="1">
      <c r="B32" s="526"/>
      <c r="C32" s="527"/>
      <c r="D32" s="528"/>
      <c r="E32" s="32" t="s">
        <v>69</v>
      </c>
      <c r="F32" s="540">
        <v>0</v>
      </c>
      <c r="G32" s="540"/>
      <c r="H32" s="541"/>
      <c r="I32" s="32" t="s">
        <v>69</v>
      </c>
      <c r="J32" s="512" t="s">
        <v>130</v>
      </c>
      <c r="K32" s="512"/>
      <c r="L32" s="513"/>
      <c r="M32" s="407" t="s">
        <v>70</v>
      </c>
      <c r="N32" s="407" t="s">
        <v>71</v>
      </c>
      <c r="O32" s="124"/>
    </row>
    <row r="33" spans="2:16" ht="17.25" customHeight="1">
      <c r="B33" s="526"/>
      <c r="C33" s="527"/>
      <c r="D33" s="528"/>
      <c r="E33" s="32" t="s">
        <v>72</v>
      </c>
      <c r="F33" s="514">
        <v>0</v>
      </c>
      <c r="G33" s="514"/>
      <c r="H33" s="515"/>
      <c r="I33" s="32" t="s">
        <v>72</v>
      </c>
      <c r="J33" s="379">
        <v>0</v>
      </c>
      <c r="K33" s="379"/>
      <c r="L33" s="380"/>
      <c r="M33" s="407"/>
      <c r="N33" s="407"/>
      <c r="O33" s="124"/>
    </row>
    <row r="34" spans="2:16" ht="17.25" customHeight="1">
      <c r="B34" s="526"/>
      <c r="C34" s="527"/>
      <c r="D34" s="528"/>
      <c r="E34" s="32" t="s">
        <v>73</v>
      </c>
      <c r="F34" s="516">
        <v>0</v>
      </c>
      <c r="G34" s="516"/>
      <c r="H34" s="517"/>
      <c r="I34" s="32" t="s">
        <v>73</v>
      </c>
      <c r="J34" s="518">
        <v>0</v>
      </c>
      <c r="K34" s="518"/>
      <c r="L34" s="519"/>
      <c r="M34" s="357" t="s">
        <v>74</v>
      </c>
      <c r="N34" s="357" t="s">
        <v>75</v>
      </c>
      <c r="O34" s="124"/>
    </row>
    <row r="35" spans="2:16" ht="17.25" customHeight="1">
      <c r="B35" s="526"/>
      <c r="C35" s="527"/>
      <c r="D35" s="528"/>
      <c r="E35" s="32" t="s">
        <v>76</v>
      </c>
      <c r="F35" s="487">
        <v>0</v>
      </c>
      <c r="G35" s="487"/>
      <c r="H35" s="488"/>
      <c r="I35" s="542" t="s">
        <v>169</v>
      </c>
      <c r="J35" s="543"/>
      <c r="K35" s="543"/>
      <c r="L35" s="544"/>
      <c r="M35" s="357"/>
      <c r="N35" s="357"/>
      <c r="O35" s="124"/>
    </row>
    <row r="36" spans="2:16" ht="17.25" customHeight="1">
      <c r="B36" s="526"/>
      <c r="C36" s="527"/>
      <c r="D36" s="528"/>
      <c r="E36" s="32" t="s">
        <v>77</v>
      </c>
      <c r="F36" s="508">
        <v>0</v>
      </c>
      <c r="G36" s="508"/>
      <c r="H36" s="509"/>
      <c r="I36" s="545"/>
      <c r="J36" s="546"/>
      <c r="K36" s="546"/>
      <c r="L36" s="547"/>
      <c r="M36" s="357"/>
      <c r="N36" s="357"/>
      <c r="O36" s="124"/>
    </row>
    <row r="37" spans="2:16" ht="17.25" customHeight="1">
      <c r="B37" s="529"/>
      <c r="C37" s="530"/>
      <c r="D37" s="531"/>
      <c r="E37" s="32" t="s">
        <v>78</v>
      </c>
      <c r="F37" s="510">
        <v>0</v>
      </c>
      <c r="G37" s="510"/>
      <c r="H37" s="511"/>
      <c r="I37" s="548"/>
      <c r="J37" s="549"/>
      <c r="K37" s="549"/>
      <c r="L37" s="550"/>
      <c r="M37" s="21"/>
      <c r="N37" s="22"/>
      <c r="O37" s="124"/>
    </row>
    <row r="38" spans="2:16" ht="17.25" customHeight="1">
      <c r="B38" s="443" t="s">
        <v>527</v>
      </c>
      <c r="C38" s="444"/>
      <c r="D38" s="445"/>
      <c r="E38" s="452">
        <v>0</v>
      </c>
      <c r="F38" s="453"/>
      <c r="G38" s="453"/>
      <c r="H38" s="454"/>
      <c r="I38" s="455">
        <v>0</v>
      </c>
      <c r="J38" s="456"/>
      <c r="K38" s="456"/>
      <c r="L38" s="457"/>
      <c r="M38" s="407" t="s">
        <v>172</v>
      </c>
      <c r="N38" s="467" t="s">
        <v>80</v>
      </c>
      <c r="O38" s="124"/>
    </row>
    <row r="39" spans="2:16" ht="17.25" customHeight="1">
      <c r="B39" s="446"/>
      <c r="C39" s="447"/>
      <c r="D39" s="448"/>
      <c r="E39" s="35" t="s">
        <v>66</v>
      </c>
      <c r="F39" s="468">
        <v>0</v>
      </c>
      <c r="G39" s="468"/>
      <c r="H39" s="469"/>
      <c r="I39" s="33" t="s">
        <v>66</v>
      </c>
      <c r="J39" s="470">
        <v>0</v>
      </c>
      <c r="K39" s="470"/>
      <c r="L39" s="471"/>
      <c r="M39" s="407"/>
      <c r="N39" s="467"/>
      <c r="O39" s="124"/>
    </row>
    <row r="40" spans="2:16" ht="17.25" customHeight="1">
      <c r="B40" s="446"/>
      <c r="C40" s="447"/>
      <c r="D40" s="448"/>
      <c r="E40" s="35" t="s">
        <v>69</v>
      </c>
      <c r="F40" s="472">
        <v>0</v>
      </c>
      <c r="G40" s="472"/>
      <c r="H40" s="473"/>
      <c r="I40" s="474" t="s">
        <v>82</v>
      </c>
      <c r="J40" s="475"/>
      <c r="K40" s="475"/>
      <c r="L40" s="476"/>
      <c r="M40" s="407"/>
      <c r="N40" s="467"/>
      <c r="O40" s="124"/>
    </row>
    <row r="41" spans="2:16" ht="17.25" customHeight="1">
      <c r="B41" s="446"/>
      <c r="C41" s="447"/>
      <c r="D41" s="448"/>
      <c r="E41" s="35" t="s">
        <v>72</v>
      </c>
      <c r="F41" s="483">
        <v>0</v>
      </c>
      <c r="G41" s="483"/>
      <c r="H41" s="484"/>
      <c r="I41" s="477"/>
      <c r="J41" s="478"/>
      <c r="K41" s="478"/>
      <c r="L41" s="479"/>
      <c r="M41" s="23"/>
      <c r="N41" s="23"/>
      <c r="O41" s="124"/>
    </row>
    <row r="42" spans="2:16" ht="17.25" customHeight="1">
      <c r="B42" s="446"/>
      <c r="C42" s="447"/>
      <c r="D42" s="448"/>
      <c r="E42" s="35" t="s">
        <v>73</v>
      </c>
      <c r="F42" s="436">
        <v>0</v>
      </c>
      <c r="G42" s="436"/>
      <c r="H42" s="437"/>
      <c r="I42" s="477"/>
      <c r="J42" s="478"/>
      <c r="K42" s="478"/>
      <c r="L42" s="479"/>
      <c r="M42" s="407" t="s">
        <v>171</v>
      </c>
      <c r="N42" s="23"/>
      <c r="O42" s="124"/>
    </row>
    <row r="43" spans="2:16" ht="17.25" customHeight="1">
      <c r="B43" s="449"/>
      <c r="C43" s="450"/>
      <c r="D43" s="451"/>
      <c r="E43" s="35" t="s">
        <v>76</v>
      </c>
      <c r="F43" s="485">
        <v>0</v>
      </c>
      <c r="G43" s="485"/>
      <c r="H43" s="486"/>
      <c r="I43" s="480"/>
      <c r="J43" s="481"/>
      <c r="K43" s="481"/>
      <c r="L43" s="482"/>
      <c r="M43" s="407"/>
      <c r="N43" s="23"/>
      <c r="O43" s="124"/>
    </row>
    <row r="44" spans="2:16" ht="17.25" customHeight="1">
      <c r="B44" s="489" t="s">
        <v>526</v>
      </c>
      <c r="C44" s="490"/>
      <c r="D44" s="491"/>
      <c r="E44" s="495">
        <v>0</v>
      </c>
      <c r="F44" s="496"/>
      <c r="G44" s="496"/>
      <c r="H44" s="497"/>
      <c r="I44" s="616" t="s">
        <v>525</v>
      </c>
      <c r="J44" s="617"/>
      <c r="K44" s="617"/>
      <c r="L44" s="618"/>
      <c r="M44" s="407"/>
      <c r="N44" s="23"/>
      <c r="O44" s="124"/>
      <c r="P44" s="140"/>
    </row>
    <row r="45" spans="2:16" ht="17.25" customHeight="1">
      <c r="B45" s="492"/>
      <c r="C45" s="493"/>
      <c r="D45" s="494"/>
      <c r="E45" s="33" t="s">
        <v>66</v>
      </c>
      <c r="F45" s="501">
        <v>0</v>
      </c>
      <c r="G45" s="501"/>
      <c r="H45" s="502"/>
      <c r="I45" s="466" t="s">
        <v>427</v>
      </c>
      <c r="J45" s="466"/>
      <c r="K45" s="466"/>
      <c r="L45" s="466"/>
      <c r="M45" s="24" t="s">
        <v>85</v>
      </c>
      <c r="N45" s="25" t="s">
        <v>85</v>
      </c>
      <c r="O45" s="124"/>
    </row>
    <row r="46" spans="2:16" ht="17.25" customHeight="1">
      <c r="B46" s="492"/>
      <c r="C46" s="493"/>
      <c r="D46" s="494"/>
      <c r="E46" s="33" t="s">
        <v>69</v>
      </c>
      <c r="F46" s="506" t="s">
        <v>428</v>
      </c>
      <c r="G46" s="506"/>
      <c r="H46" s="507"/>
      <c r="I46" s="466" t="s">
        <v>429</v>
      </c>
      <c r="J46" s="466"/>
      <c r="K46" s="466"/>
      <c r="L46" s="466"/>
      <c r="M46" s="20" t="s">
        <v>86</v>
      </c>
      <c r="N46" s="20" t="s">
        <v>87</v>
      </c>
      <c r="O46" s="124"/>
    </row>
    <row r="47" spans="2:16" ht="17.25" customHeight="1">
      <c r="B47" s="610" t="s">
        <v>438</v>
      </c>
      <c r="C47" s="611"/>
      <c r="D47" s="612"/>
      <c r="E47" s="33" t="s">
        <v>72</v>
      </c>
      <c r="F47" s="464" t="s">
        <v>431</v>
      </c>
      <c r="G47" s="464"/>
      <c r="H47" s="465"/>
      <c r="I47" s="603"/>
      <c r="J47" s="603"/>
      <c r="K47" s="603"/>
      <c r="L47" s="603"/>
      <c r="M47" s="407" t="s">
        <v>174</v>
      </c>
      <c r="N47" s="407" t="s">
        <v>88</v>
      </c>
      <c r="O47" s="124"/>
    </row>
    <row r="48" spans="2:16" ht="17.25" customHeight="1">
      <c r="B48" s="610"/>
      <c r="C48" s="611"/>
      <c r="D48" s="612"/>
      <c r="E48" s="33" t="s">
        <v>73</v>
      </c>
      <c r="F48" s="436" t="s">
        <v>433</v>
      </c>
      <c r="G48" s="436"/>
      <c r="H48" s="437"/>
      <c r="I48" s="603"/>
      <c r="J48" s="603"/>
      <c r="K48" s="603"/>
      <c r="L48" s="603"/>
      <c r="M48" s="407"/>
      <c r="N48" s="407"/>
      <c r="O48" s="124"/>
    </row>
    <row r="49" spans="1:15" ht="17.25" customHeight="1">
      <c r="B49" s="613"/>
      <c r="C49" s="614"/>
      <c r="D49" s="615"/>
      <c r="E49" s="33" t="s">
        <v>76</v>
      </c>
      <c r="F49" s="441">
        <v>0</v>
      </c>
      <c r="G49" s="441"/>
      <c r="H49" s="442"/>
      <c r="I49" s="603"/>
      <c r="J49" s="603"/>
      <c r="K49" s="603"/>
      <c r="L49" s="603"/>
      <c r="M49" s="407"/>
      <c r="N49" s="407"/>
      <c r="O49" s="124"/>
    </row>
    <row r="50" spans="1:15" ht="17.25" customHeight="1">
      <c r="B50" s="415" t="s">
        <v>524</v>
      </c>
      <c r="C50" s="416"/>
      <c r="D50" s="417"/>
      <c r="E50" s="421">
        <v>0</v>
      </c>
      <c r="F50" s="422"/>
      <c r="G50" s="422"/>
      <c r="H50" s="423"/>
      <c r="I50" s="424">
        <v>0</v>
      </c>
      <c r="J50" s="425"/>
      <c r="K50" s="425"/>
      <c r="L50" s="426"/>
      <c r="M50" s="357" t="s">
        <v>419</v>
      </c>
      <c r="N50" s="357" t="s">
        <v>90</v>
      </c>
      <c r="O50" s="124"/>
    </row>
    <row r="51" spans="1:15" ht="17.25" customHeight="1">
      <c r="B51" s="418"/>
      <c r="C51" s="419"/>
      <c r="D51" s="420"/>
      <c r="E51" s="34" t="s">
        <v>66</v>
      </c>
      <c r="F51" s="428">
        <v>0</v>
      </c>
      <c r="G51" s="428"/>
      <c r="H51" s="429"/>
      <c r="I51" s="34" t="s">
        <v>66</v>
      </c>
      <c r="J51" s="430">
        <v>0</v>
      </c>
      <c r="K51" s="430"/>
      <c r="L51" s="431"/>
      <c r="M51" s="427"/>
      <c r="N51" s="357"/>
      <c r="O51" s="124"/>
    </row>
    <row r="52" spans="1:15" ht="17.25" customHeight="1">
      <c r="B52" s="418"/>
      <c r="C52" s="419"/>
      <c r="D52" s="420"/>
      <c r="E52" s="34" t="s">
        <v>69</v>
      </c>
      <c r="F52" s="432">
        <v>0</v>
      </c>
      <c r="G52" s="432"/>
      <c r="H52" s="433"/>
      <c r="I52" s="34" t="s">
        <v>69</v>
      </c>
      <c r="J52" s="434">
        <v>0</v>
      </c>
      <c r="K52" s="434"/>
      <c r="L52" s="435"/>
      <c r="M52" s="24"/>
      <c r="N52" s="21"/>
      <c r="O52" s="124"/>
    </row>
    <row r="53" spans="1:15" ht="17.25" customHeight="1">
      <c r="B53" s="604" t="s">
        <v>81</v>
      </c>
      <c r="C53" s="605"/>
      <c r="D53" s="606"/>
      <c r="E53" s="34" t="s">
        <v>72</v>
      </c>
      <c r="F53" s="396">
        <v>0</v>
      </c>
      <c r="G53" s="396"/>
      <c r="H53" s="397"/>
      <c r="I53" s="398" t="s">
        <v>164</v>
      </c>
      <c r="J53" s="399"/>
      <c r="K53" s="399"/>
      <c r="L53" s="400"/>
      <c r="M53" s="407" t="s">
        <v>186</v>
      </c>
      <c r="N53" s="408" t="s">
        <v>92</v>
      </c>
      <c r="O53" s="124"/>
    </row>
    <row r="54" spans="1:15" ht="17.25" customHeight="1">
      <c r="B54" s="604"/>
      <c r="C54" s="605"/>
      <c r="D54" s="606"/>
      <c r="E54" s="34" t="s">
        <v>73</v>
      </c>
      <c r="F54" s="409">
        <v>0</v>
      </c>
      <c r="G54" s="409"/>
      <c r="H54" s="410"/>
      <c r="I54" s="401"/>
      <c r="J54" s="402"/>
      <c r="K54" s="402"/>
      <c r="L54" s="403"/>
      <c r="M54" s="407"/>
      <c r="N54" s="408"/>
      <c r="O54" s="124"/>
    </row>
    <row r="55" spans="1:15" ht="17.25" customHeight="1">
      <c r="B55" s="604"/>
      <c r="C55" s="605"/>
      <c r="D55" s="606"/>
      <c r="E55" s="34" t="s">
        <v>76</v>
      </c>
      <c r="F55" s="411">
        <v>0</v>
      </c>
      <c r="G55" s="411"/>
      <c r="H55" s="412"/>
      <c r="I55" s="401"/>
      <c r="J55" s="402"/>
      <c r="K55" s="402"/>
      <c r="L55" s="403"/>
      <c r="M55" s="357" t="s">
        <v>187</v>
      </c>
      <c r="N55" s="26"/>
      <c r="O55" s="124"/>
    </row>
    <row r="56" spans="1:15" ht="17.25" customHeight="1">
      <c r="B56" s="607"/>
      <c r="C56" s="608"/>
      <c r="D56" s="609"/>
      <c r="E56" s="34" t="s">
        <v>77</v>
      </c>
      <c r="F56" s="413">
        <v>0</v>
      </c>
      <c r="G56" s="413"/>
      <c r="H56" s="414"/>
      <c r="I56" s="404"/>
      <c r="J56" s="405"/>
      <c r="K56" s="405"/>
      <c r="L56" s="406"/>
      <c r="M56" s="357"/>
      <c r="N56" s="26"/>
      <c r="O56" s="124"/>
    </row>
    <row r="57" spans="1:15" ht="17.25" customHeight="1">
      <c r="B57" s="367" t="s">
        <v>93</v>
      </c>
      <c r="C57" s="368"/>
      <c r="D57" s="369"/>
      <c r="E57" s="373">
        <v>0</v>
      </c>
      <c r="F57" s="374"/>
      <c r="G57" s="374"/>
      <c r="H57" s="375"/>
      <c r="I57" s="376">
        <v>0</v>
      </c>
      <c r="J57" s="377"/>
      <c r="K57" s="377"/>
      <c r="L57" s="378"/>
      <c r="M57" s="23"/>
      <c r="N57" s="22"/>
      <c r="O57" s="124"/>
    </row>
    <row r="58" spans="1:15" ht="17.25" customHeight="1">
      <c r="B58" s="370"/>
      <c r="C58" s="371"/>
      <c r="D58" s="372"/>
      <c r="E58" s="341" t="s">
        <v>182</v>
      </c>
      <c r="F58" s="342"/>
      <c r="G58" s="342"/>
      <c r="H58" s="343"/>
      <c r="I58" s="40" t="s">
        <v>66</v>
      </c>
      <c r="J58" s="379">
        <v>0</v>
      </c>
      <c r="K58" s="379"/>
      <c r="L58" s="380"/>
      <c r="M58" s="23" t="s">
        <v>94</v>
      </c>
      <c r="N58" s="26"/>
      <c r="O58" s="124"/>
    </row>
    <row r="59" spans="1:15" ht="17.25" customHeight="1">
      <c r="B59" s="381" t="s">
        <v>181</v>
      </c>
      <c r="C59" s="382"/>
      <c r="D59" s="383"/>
      <c r="E59" s="344"/>
      <c r="F59" s="345"/>
      <c r="G59" s="345"/>
      <c r="H59" s="346"/>
      <c r="I59" s="62" t="s">
        <v>69</v>
      </c>
      <c r="J59" s="388" t="s">
        <v>180</v>
      </c>
      <c r="K59" s="388"/>
      <c r="L59" s="389"/>
      <c r="M59" s="357" t="s">
        <v>95</v>
      </c>
      <c r="N59" s="26"/>
      <c r="O59" s="124"/>
    </row>
    <row r="60" spans="1:15" ht="17.25" customHeight="1">
      <c r="B60" s="384"/>
      <c r="C60" s="382"/>
      <c r="D60" s="383"/>
      <c r="E60" s="347" t="s">
        <v>183</v>
      </c>
      <c r="F60" s="348"/>
      <c r="G60" s="348"/>
      <c r="H60" s="349"/>
      <c r="I60" s="63"/>
      <c r="J60" s="350" t="s">
        <v>185</v>
      </c>
      <c r="K60" s="350"/>
      <c r="L60" s="351"/>
      <c r="M60" s="357"/>
      <c r="N60" s="22"/>
      <c r="O60" s="124"/>
    </row>
    <row r="61" spans="1:15" ht="17.25" customHeight="1">
      <c r="B61" s="385"/>
      <c r="C61" s="386"/>
      <c r="D61" s="387"/>
      <c r="E61" s="347" t="s">
        <v>184</v>
      </c>
      <c r="F61" s="348"/>
      <c r="G61" s="348"/>
      <c r="H61" s="349"/>
      <c r="I61" s="64"/>
      <c r="J61" s="352" t="s">
        <v>188</v>
      </c>
      <c r="K61" s="352"/>
      <c r="L61" s="353"/>
      <c r="M61" s="27"/>
      <c r="N61" s="27"/>
      <c r="O61" s="124"/>
    </row>
    <row r="62" spans="1:15" ht="17.25" customHeight="1">
      <c r="B62" s="358" t="s">
        <v>96</v>
      </c>
      <c r="C62" s="359"/>
      <c r="D62" s="360"/>
      <c r="E62" s="361">
        <v>0</v>
      </c>
      <c r="F62" s="362"/>
      <c r="G62" s="362"/>
      <c r="H62" s="363"/>
      <c r="I62" s="364">
        <v>0</v>
      </c>
      <c r="J62" s="365"/>
      <c r="K62" s="365"/>
      <c r="L62" s="366"/>
      <c r="M62" s="28" t="s">
        <v>97</v>
      </c>
      <c r="N62" s="28" t="s">
        <v>98</v>
      </c>
    </row>
    <row r="63" spans="1:15" ht="17.25" customHeight="1">
      <c r="A63" s="45" t="s">
        <v>135</v>
      </c>
      <c r="O63" s="45" t="s">
        <v>136</v>
      </c>
    </row>
    <row r="64" spans="1:15" ht="17.25" customHeight="1">
      <c r="B64" s="354" t="s">
        <v>420</v>
      </c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  <c r="N64" s="356"/>
    </row>
    <row r="65" spans="2:14" ht="17.25" customHeight="1">
      <c r="B65" s="310" t="s">
        <v>167</v>
      </c>
      <c r="C65" s="311"/>
      <c r="D65" s="311"/>
      <c r="E65" s="311"/>
      <c r="F65" s="311"/>
      <c r="G65" s="311"/>
      <c r="H65" s="311"/>
      <c r="I65" s="311"/>
      <c r="J65" s="311"/>
      <c r="K65" s="311"/>
      <c r="L65" s="311"/>
      <c r="M65" s="311"/>
      <c r="N65" s="312"/>
    </row>
    <row r="66" spans="2:14" ht="17.25" customHeight="1">
      <c r="B66" s="602" t="s">
        <v>64</v>
      </c>
      <c r="C66" s="602"/>
      <c r="D66" s="602"/>
      <c r="E66" s="602" t="s">
        <v>53</v>
      </c>
      <c r="F66" s="602"/>
      <c r="G66" s="602"/>
      <c r="H66" s="602"/>
      <c r="I66" s="313" t="s">
        <v>54</v>
      </c>
      <c r="J66" s="314"/>
      <c r="K66" s="314"/>
      <c r="L66" s="315"/>
      <c r="M66" s="30" t="s">
        <v>55</v>
      </c>
      <c r="N66" s="30" t="s">
        <v>56</v>
      </c>
    </row>
    <row r="67" spans="2:14" ht="17.25" customHeight="1">
      <c r="B67" s="316" t="s">
        <v>99</v>
      </c>
      <c r="C67" s="317"/>
      <c r="D67" s="318"/>
      <c r="E67" s="325">
        <v>0</v>
      </c>
      <c r="F67" s="326"/>
      <c r="G67" s="326"/>
      <c r="H67" s="327"/>
      <c r="I67" s="328">
        <v>0</v>
      </c>
      <c r="J67" s="329"/>
      <c r="K67" s="329"/>
      <c r="L67" s="330"/>
      <c r="M67" s="331" t="s">
        <v>100</v>
      </c>
      <c r="N67" s="334" t="s">
        <v>100</v>
      </c>
    </row>
    <row r="68" spans="2:14" ht="17.25" customHeight="1">
      <c r="B68" s="319"/>
      <c r="C68" s="320"/>
      <c r="D68" s="321"/>
      <c r="E68" s="36" t="s">
        <v>66</v>
      </c>
      <c r="F68" s="300">
        <v>0</v>
      </c>
      <c r="G68" s="300"/>
      <c r="H68" s="301"/>
      <c r="I68" s="36" t="s">
        <v>66</v>
      </c>
      <c r="J68" s="302" t="s">
        <v>129</v>
      </c>
      <c r="K68" s="302"/>
      <c r="L68" s="303"/>
      <c r="M68" s="332"/>
      <c r="N68" s="335"/>
    </row>
    <row r="69" spans="2:14" ht="17.25" customHeight="1">
      <c r="B69" s="319"/>
      <c r="C69" s="320"/>
      <c r="D69" s="321"/>
      <c r="E69" s="36" t="s">
        <v>69</v>
      </c>
      <c r="F69" s="304">
        <v>0</v>
      </c>
      <c r="G69" s="304"/>
      <c r="H69" s="305"/>
      <c r="I69" s="36" t="s">
        <v>69</v>
      </c>
      <c r="J69" s="302" t="s">
        <v>130</v>
      </c>
      <c r="K69" s="302"/>
      <c r="L69" s="303"/>
      <c r="M69" s="332"/>
      <c r="N69" s="335"/>
    </row>
    <row r="70" spans="2:14" ht="17.25" customHeight="1">
      <c r="B70" s="319"/>
      <c r="C70" s="320"/>
      <c r="D70" s="321"/>
      <c r="E70" s="36" t="s">
        <v>72</v>
      </c>
      <c r="F70" s="306">
        <v>0</v>
      </c>
      <c r="G70" s="306"/>
      <c r="H70" s="307"/>
      <c r="I70" s="36" t="s">
        <v>72</v>
      </c>
      <c r="J70" s="308">
        <v>0</v>
      </c>
      <c r="K70" s="308"/>
      <c r="L70" s="309"/>
      <c r="M70" s="332"/>
      <c r="N70" s="335"/>
    </row>
    <row r="71" spans="2:14" ht="17.25" customHeight="1">
      <c r="B71" s="319"/>
      <c r="C71" s="320"/>
      <c r="D71" s="321"/>
      <c r="E71" s="36" t="s">
        <v>73</v>
      </c>
      <c r="F71" s="337">
        <v>0</v>
      </c>
      <c r="G71" s="337"/>
      <c r="H71" s="338"/>
      <c r="I71" s="36" t="s">
        <v>73</v>
      </c>
      <c r="J71" s="339">
        <v>0</v>
      </c>
      <c r="K71" s="339"/>
      <c r="L71" s="340"/>
      <c r="M71" s="332"/>
      <c r="N71" s="335"/>
    </row>
    <row r="72" spans="2:14" ht="17.25" customHeight="1">
      <c r="B72" s="319"/>
      <c r="C72" s="320"/>
      <c r="D72" s="321"/>
      <c r="E72" s="36" t="s">
        <v>76</v>
      </c>
      <c r="F72" s="285">
        <v>0</v>
      </c>
      <c r="G72" s="285"/>
      <c r="H72" s="286"/>
      <c r="I72" s="287" t="s">
        <v>101</v>
      </c>
      <c r="J72" s="288"/>
      <c r="K72" s="288"/>
      <c r="L72" s="289"/>
      <c r="M72" s="332"/>
      <c r="N72" s="335"/>
    </row>
    <row r="73" spans="2:14" ht="17.25" customHeight="1">
      <c r="B73" s="319"/>
      <c r="C73" s="320"/>
      <c r="D73" s="321"/>
      <c r="E73" s="36" t="s">
        <v>77</v>
      </c>
      <c r="F73" s="296">
        <v>0</v>
      </c>
      <c r="G73" s="296"/>
      <c r="H73" s="297"/>
      <c r="I73" s="290"/>
      <c r="J73" s="291"/>
      <c r="K73" s="291"/>
      <c r="L73" s="292"/>
      <c r="M73" s="332"/>
      <c r="N73" s="335"/>
    </row>
    <row r="74" spans="2:14" ht="17.25" customHeight="1">
      <c r="B74" s="322"/>
      <c r="C74" s="323"/>
      <c r="D74" s="324"/>
      <c r="E74" s="36" t="s">
        <v>78</v>
      </c>
      <c r="F74" s="298">
        <v>0</v>
      </c>
      <c r="G74" s="298"/>
      <c r="H74" s="299"/>
      <c r="I74" s="293"/>
      <c r="J74" s="294"/>
      <c r="K74" s="294"/>
      <c r="L74" s="295"/>
      <c r="M74" s="332"/>
      <c r="N74" s="335"/>
    </row>
    <row r="75" spans="2:14" ht="17.25" customHeight="1">
      <c r="B75" s="249" t="s">
        <v>102</v>
      </c>
      <c r="C75" s="250"/>
      <c r="D75" s="251"/>
      <c r="E75" s="258">
        <v>0</v>
      </c>
      <c r="F75" s="259"/>
      <c r="G75" s="259"/>
      <c r="H75" s="260"/>
      <c r="I75" s="261">
        <v>0</v>
      </c>
      <c r="J75" s="262"/>
      <c r="K75" s="262"/>
      <c r="L75" s="263"/>
      <c r="M75" s="332"/>
      <c r="N75" s="335"/>
    </row>
    <row r="76" spans="2:14" ht="17.25" customHeight="1">
      <c r="B76" s="252"/>
      <c r="C76" s="253"/>
      <c r="D76" s="254"/>
      <c r="E76" s="37" t="s">
        <v>66</v>
      </c>
      <c r="F76" s="264">
        <v>0</v>
      </c>
      <c r="G76" s="264"/>
      <c r="H76" s="265"/>
      <c r="I76" s="37" t="s">
        <v>66</v>
      </c>
      <c r="J76" s="266">
        <v>0</v>
      </c>
      <c r="K76" s="266"/>
      <c r="L76" s="267"/>
      <c r="M76" s="332"/>
      <c r="N76" s="335"/>
    </row>
    <row r="77" spans="2:14" ht="17.25" customHeight="1">
      <c r="B77" s="252"/>
      <c r="C77" s="253"/>
      <c r="D77" s="254"/>
      <c r="E77" s="37" t="s">
        <v>69</v>
      </c>
      <c r="F77" s="268">
        <v>0</v>
      </c>
      <c r="G77" s="268"/>
      <c r="H77" s="269"/>
      <c r="I77" s="270" t="s">
        <v>103</v>
      </c>
      <c r="J77" s="271"/>
      <c r="K77" s="271"/>
      <c r="L77" s="272"/>
      <c r="M77" s="332"/>
      <c r="N77" s="335"/>
    </row>
    <row r="78" spans="2:14" ht="17.25" customHeight="1">
      <c r="B78" s="252"/>
      <c r="C78" s="253"/>
      <c r="D78" s="254"/>
      <c r="E78" s="37" t="s">
        <v>72</v>
      </c>
      <c r="F78" s="279">
        <v>0</v>
      </c>
      <c r="G78" s="279"/>
      <c r="H78" s="280"/>
      <c r="I78" s="273"/>
      <c r="J78" s="274"/>
      <c r="K78" s="274"/>
      <c r="L78" s="275"/>
      <c r="M78" s="332"/>
      <c r="N78" s="335"/>
    </row>
    <row r="79" spans="2:14" ht="17.25" customHeight="1">
      <c r="B79" s="252"/>
      <c r="C79" s="253"/>
      <c r="D79" s="254"/>
      <c r="E79" s="37" t="s">
        <v>73</v>
      </c>
      <c r="F79" s="281">
        <v>0</v>
      </c>
      <c r="G79" s="281"/>
      <c r="H79" s="282"/>
      <c r="I79" s="273"/>
      <c r="J79" s="274"/>
      <c r="K79" s="274"/>
      <c r="L79" s="275"/>
      <c r="M79" s="332"/>
      <c r="N79" s="335"/>
    </row>
    <row r="80" spans="2:14" ht="17.25" customHeight="1">
      <c r="B80" s="255"/>
      <c r="C80" s="256"/>
      <c r="D80" s="257"/>
      <c r="E80" s="37" t="s">
        <v>76</v>
      </c>
      <c r="F80" s="283">
        <v>0</v>
      </c>
      <c r="G80" s="283"/>
      <c r="H80" s="284"/>
      <c r="I80" s="276"/>
      <c r="J80" s="277"/>
      <c r="K80" s="277"/>
      <c r="L80" s="278"/>
      <c r="M80" s="332"/>
      <c r="N80" s="335"/>
    </row>
    <row r="81" spans="1:15" ht="17.25" customHeight="1">
      <c r="B81" s="213" t="s">
        <v>104</v>
      </c>
      <c r="C81" s="214"/>
      <c r="D81" s="215"/>
      <c r="E81" s="222">
        <v>0</v>
      </c>
      <c r="F81" s="223"/>
      <c r="G81" s="223"/>
      <c r="H81" s="224"/>
      <c r="I81" s="225">
        <v>0</v>
      </c>
      <c r="J81" s="226"/>
      <c r="K81" s="226"/>
      <c r="L81" s="227"/>
      <c r="M81" s="332"/>
      <c r="N81" s="335"/>
    </row>
    <row r="82" spans="1:15" ht="17.25" customHeight="1">
      <c r="B82" s="216"/>
      <c r="C82" s="217"/>
      <c r="D82" s="218"/>
      <c r="E82" s="38" t="s">
        <v>66</v>
      </c>
      <c r="F82" s="228">
        <v>0</v>
      </c>
      <c r="G82" s="228"/>
      <c r="H82" s="229"/>
      <c r="I82" s="42" t="s">
        <v>66</v>
      </c>
      <c r="J82" s="230">
        <v>0</v>
      </c>
      <c r="K82" s="230"/>
      <c r="L82" s="231"/>
      <c r="M82" s="332"/>
      <c r="N82" s="335"/>
    </row>
    <row r="83" spans="1:15" ht="17.25" customHeight="1">
      <c r="B83" s="216"/>
      <c r="C83" s="217"/>
      <c r="D83" s="218"/>
      <c r="E83" s="38" t="s">
        <v>69</v>
      </c>
      <c r="F83" s="232">
        <v>0</v>
      </c>
      <c r="G83" s="232"/>
      <c r="H83" s="233"/>
      <c r="I83" s="234" t="s">
        <v>105</v>
      </c>
      <c r="J83" s="235"/>
      <c r="K83" s="235"/>
      <c r="L83" s="236"/>
      <c r="M83" s="332"/>
      <c r="N83" s="335"/>
    </row>
    <row r="84" spans="1:15" ht="17.25" customHeight="1">
      <c r="B84" s="216"/>
      <c r="C84" s="217"/>
      <c r="D84" s="218"/>
      <c r="E84" s="38" t="s">
        <v>72</v>
      </c>
      <c r="F84" s="243">
        <v>0</v>
      </c>
      <c r="G84" s="243"/>
      <c r="H84" s="244"/>
      <c r="I84" s="237"/>
      <c r="J84" s="238"/>
      <c r="K84" s="238"/>
      <c r="L84" s="239"/>
      <c r="M84" s="332"/>
      <c r="N84" s="335"/>
    </row>
    <row r="85" spans="1:15" ht="17.25" customHeight="1">
      <c r="B85" s="216"/>
      <c r="C85" s="217"/>
      <c r="D85" s="218"/>
      <c r="E85" s="38" t="s">
        <v>73</v>
      </c>
      <c r="F85" s="245">
        <v>0</v>
      </c>
      <c r="G85" s="245"/>
      <c r="H85" s="246"/>
      <c r="I85" s="237"/>
      <c r="J85" s="238"/>
      <c r="K85" s="238"/>
      <c r="L85" s="239"/>
      <c r="M85" s="332"/>
      <c r="N85" s="335"/>
    </row>
    <row r="86" spans="1:15" ht="17.25" customHeight="1">
      <c r="B86" s="219"/>
      <c r="C86" s="220"/>
      <c r="D86" s="221"/>
      <c r="E86" s="38" t="s">
        <v>76</v>
      </c>
      <c r="F86" s="247">
        <v>0</v>
      </c>
      <c r="G86" s="247"/>
      <c r="H86" s="248"/>
      <c r="I86" s="240"/>
      <c r="J86" s="241"/>
      <c r="K86" s="241"/>
      <c r="L86" s="242"/>
      <c r="M86" s="332"/>
      <c r="N86" s="335"/>
    </row>
    <row r="87" spans="1:15" ht="17.25" customHeight="1">
      <c r="B87" s="179" t="s">
        <v>155</v>
      </c>
      <c r="C87" s="180"/>
      <c r="D87" s="181"/>
      <c r="E87" s="185">
        <v>0</v>
      </c>
      <c r="F87" s="186"/>
      <c r="G87" s="186"/>
      <c r="H87" s="187"/>
      <c r="I87" s="188">
        <v>0</v>
      </c>
      <c r="J87" s="189"/>
      <c r="K87" s="189"/>
      <c r="L87" s="190"/>
      <c r="M87" s="332"/>
      <c r="N87" s="335"/>
    </row>
    <row r="88" spans="1:15" ht="17.25" customHeight="1">
      <c r="B88" s="182"/>
      <c r="C88" s="183"/>
      <c r="D88" s="184"/>
      <c r="E88" s="202" t="s">
        <v>182</v>
      </c>
      <c r="F88" s="203"/>
      <c r="G88" s="203"/>
      <c r="H88" s="204"/>
      <c r="I88" s="65" t="s">
        <v>66</v>
      </c>
      <c r="J88" s="191">
        <v>0</v>
      </c>
      <c r="K88" s="191"/>
      <c r="L88" s="192"/>
      <c r="M88" s="332"/>
      <c r="N88" s="335"/>
    </row>
    <row r="89" spans="1:15" ht="17.25" customHeight="1">
      <c r="B89" s="193" t="s">
        <v>181</v>
      </c>
      <c r="C89" s="194"/>
      <c r="D89" s="195"/>
      <c r="E89" s="205"/>
      <c r="F89" s="206"/>
      <c r="G89" s="206"/>
      <c r="H89" s="207"/>
      <c r="I89" s="66" t="s">
        <v>69</v>
      </c>
      <c r="J89" s="200" t="s">
        <v>180</v>
      </c>
      <c r="K89" s="200"/>
      <c r="L89" s="201"/>
      <c r="M89" s="332"/>
      <c r="N89" s="335"/>
    </row>
    <row r="90" spans="1:15" ht="17.25" customHeight="1">
      <c r="B90" s="196"/>
      <c r="C90" s="194"/>
      <c r="D90" s="195"/>
      <c r="E90" s="208" t="s">
        <v>183</v>
      </c>
      <c r="F90" s="209"/>
      <c r="G90" s="209"/>
      <c r="H90" s="210"/>
      <c r="I90" s="67"/>
      <c r="J90" s="211" t="s">
        <v>185</v>
      </c>
      <c r="K90" s="211"/>
      <c r="L90" s="212"/>
      <c r="M90" s="332"/>
      <c r="N90" s="335"/>
    </row>
    <row r="91" spans="1:15" ht="17.25" customHeight="1">
      <c r="B91" s="197"/>
      <c r="C91" s="198"/>
      <c r="D91" s="199"/>
      <c r="E91" s="208" t="s">
        <v>184</v>
      </c>
      <c r="F91" s="209"/>
      <c r="G91" s="209"/>
      <c r="H91" s="210"/>
      <c r="I91" s="68"/>
      <c r="J91" s="168" t="s">
        <v>188</v>
      </c>
      <c r="K91" s="168"/>
      <c r="L91" s="169"/>
      <c r="M91" s="333"/>
      <c r="N91" s="336"/>
    </row>
    <row r="92" spans="1:15" ht="17.25" customHeight="1">
      <c r="B92" s="170" t="s">
        <v>106</v>
      </c>
      <c r="C92" s="171"/>
      <c r="D92" s="172"/>
      <c r="E92" s="173">
        <v>0</v>
      </c>
      <c r="F92" s="174"/>
      <c r="G92" s="174"/>
      <c r="H92" s="175"/>
      <c r="I92" s="176">
        <v>0</v>
      </c>
      <c r="J92" s="177"/>
      <c r="K92" s="177"/>
      <c r="L92" s="178"/>
      <c r="M92" s="31" t="s">
        <v>97</v>
      </c>
      <c r="N92" s="31" t="s">
        <v>98</v>
      </c>
    </row>
    <row r="93" spans="1:15" ht="17.25" customHeight="1">
      <c r="A93" s="45" t="s">
        <v>135</v>
      </c>
      <c r="O93" s="45" t="s">
        <v>136</v>
      </c>
    </row>
    <row r="94" spans="1:15" ht="17.25" customHeight="1">
      <c r="B94" s="148" t="s">
        <v>107</v>
      </c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50"/>
    </row>
    <row r="95" spans="1:15" ht="17.25" customHeight="1">
      <c r="B95" s="151" t="s">
        <v>108</v>
      </c>
      <c r="C95" s="152"/>
      <c r="D95" s="153"/>
      <c r="E95" s="154" t="s">
        <v>62</v>
      </c>
      <c r="F95" s="155"/>
      <c r="G95" s="155"/>
      <c r="H95" s="155"/>
      <c r="I95" s="155"/>
      <c r="J95" s="155"/>
      <c r="K95" s="155"/>
      <c r="L95" s="155"/>
      <c r="M95" s="155"/>
      <c r="N95" s="156"/>
    </row>
    <row r="96" spans="1:15" ht="17.25" customHeight="1">
      <c r="B96" s="151" t="s">
        <v>109</v>
      </c>
      <c r="C96" s="152"/>
      <c r="D96" s="153"/>
      <c r="E96" s="154" t="s">
        <v>110</v>
      </c>
      <c r="F96" s="155"/>
      <c r="G96" s="155"/>
      <c r="H96" s="155"/>
      <c r="I96" s="155"/>
      <c r="J96" s="155"/>
      <c r="K96" s="155"/>
      <c r="L96" s="155"/>
      <c r="M96" s="155"/>
      <c r="N96" s="156"/>
    </row>
    <row r="97" spans="1:15" ht="17.25" customHeight="1">
      <c r="B97" s="151" t="s">
        <v>111</v>
      </c>
      <c r="C97" s="152"/>
      <c r="D97" s="153"/>
      <c r="E97" s="599" t="s">
        <v>112</v>
      </c>
      <c r="F97" s="600"/>
      <c r="G97" s="600"/>
      <c r="H97" s="600"/>
      <c r="I97" s="600"/>
      <c r="J97" s="600"/>
      <c r="K97" s="600"/>
      <c r="L97" s="600"/>
      <c r="M97" s="600"/>
      <c r="N97" s="601"/>
    </row>
    <row r="98" spans="1:15" ht="17.25" customHeight="1">
      <c r="B98" s="151" t="s">
        <v>113</v>
      </c>
      <c r="C98" s="152"/>
      <c r="D98" s="153"/>
      <c r="E98" s="154" t="s">
        <v>158</v>
      </c>
      <c r="F98" s="155"/>
      <c r="G98" s="155"/>
      <c r="H98" s="155"/>
      <c r="I98" s="155"/>
      <c r="J98" s="155"/>
      <c r="K98" s="155"/>
      <c r="L98" s="155"/>
      <c r="M98" s="155"/>
      <c r="N98" s="156"/>
    </row>
    <row r="99" spans="1:15" ht="17.25" customHeight="1">
      <c r="A99" s="45" t="s">
        <v>135</v>
      </c>
      <c r="O99" s="45" t="s">
        <v>136</v>
      </c>
    </row>
    <row r="100" spans="1:15" ht="17.25" customHeight="1">
      <c r="B100" s="598" t="s">
        <v>114</v>
      </c>
      <c r="C100" s="598"/>
      <c r="D100" s="598"/>
      <c r="E100" s="598"/>
      <c r="F100" s="598"/>
      <c r="G100" s="598"/>
      <c r="H100" s="598"/>
      <c r="I100" s="598"/>
      <c r="J100" s="598"/>
      <c r="K100" s="598"/>
      <c r="L100" s="598"/>
      <c r="M100" s="598"/>
      <c r="N100" s="598"/>
    </row>
    <row r="101" spans="1:15" ht="17.25" customHeight="1">
      <c r="B101" s="142" t="s">
        <v>115</v>
      </c>
      <c r="C101" s="143"/>
      <c r="D101" s="144"/>
      <c r="E101" s="163" t="s">
        <v>128</v>
      </c>
      <c r="F101" s="164"/>
      <c r="G101" s="164"/>
      <c r="H101" s="164"/>
      <c r="I101" s="164"/>
      <c r="J101" s="164"/>
      <c r="K101" s="164"/>
      <c r="L101" s="164"/>
      <c r="M101" s="164"/>
      <c r="N101" s="164"/>
    </row>
    <row r="102" spans="1:15" ht="17.25" customHeight="1">
      <c r="B102" s="142" t="s">
        <v>116</v>
      </c>
      <c r="C102" s="143"/>
      <c r="D102" s="144"/>
      <c r="E102" s="165" t="s">
        <v>117</v>
      </c>
      <c r="F102" s="166"/>
      <c r="G102" s="166"/>
      <c r="H102" s="166"/>
      <c r="I102" s="166"/>
      <c r="J102" s="166"/>
      <c r="K102" s="166"/>
      <c r="L102" s="166"/>
      <c r="M102" s="166"/>
      <c r="N102" s="167"/>
    </row>
    <row r="103" spans="1:15" ht="17.25" customHeight="1">
      <c r="B103" s="142" t="s">
        <v>118</v>
      </c>
      <c r="C103" s="143"/>
      <c r="D103" s="144"/>
      <c r="E103" s="145" t="s">
        <v>119</v>
      </c>
      <c r="F103" s="146"/>
      <c r="G103" s="146"/>
      <c r="H103" s="146"/>
      <c r="I103" s="146"/>
      <c r="J103" s="146"/>
      <c r="K103" s="146"/>
      <c r="L103" s="146"/>
      <c r="M103" s="146"/>
      <c r="N103" s="147"/>
    </row>
    <row r="104" spans="1:15" ht="17.25" customHeight="1">
      <c r="B104" s="157" t="s">
        <v>120</v>
      </c>
      <c r="C104" s="158"/>
      <c r="D104" s="159"/>
      <c r="E104" s="145" t="s">
        <v>159</v>
      </c>
      <c r="F104" s="146"/>
      <c r="G104" s="146"/>
      <c r="H104" s="146"/>
      <c r="I104" s="146"/>
      <c r="J104" s="146"/>
      <c r="K104" s="146"/>
      <c r="L104" s="146"/>
      <c r="M104" s="146"/>
      <c r="N104" s="147"/>
    </row>
  </sheetData>
  <mergeCells count="204">
    <mergeCell ref="B4:N4"/>
    <mergeCell ref="C5:N5"/>
    <mergeCell ref="C6:N6"/>
    <mergeCell ref="C7:N7"/>
    <mergeCell ref="D8:N8"/>
    <mergeCell ref="C9:N9"/>
    <mergeCell ref="E15:F15"/>
    <mergeCell ref="C19:C20"/>
    <mergeCell ref="E19:F19"/>
    <mergeCell ref="G19:N20"/>
    <mergeCell ref="E20:F20"/>
    <mergeCell ref="G15:N15"/>
    <mergeCell ref="E16:F16"/>
    <mergeCell ref="G16:N16"/>
    <mergeCell ref="C10:N10"/>
    <mergeCell ref="C11:N11"/>
    <mergeCell ref="C12:N12"/>
    <mergeCell ref="C13:C16"/>
    <mergeCell ref="E13:F13"/>
    <mergeCell ref="G13:N13"/>
    <mergeCell ref="E14:F14"/>
    <mergeCell ref="B27:N27"/>
    <mergeCell ref="I22:J22"/>
    <mergeCell ref="M22:M23"/>
    <mergeCell ref="N22:N23"/>
    <mergeCell ref="C23:D23"/>
    <mergeCell ref="E23:F23"/>
    <mergeCell ref="I23:J23"/>
    <mergeCell ref="B13:B20"/>
    <mergeCell ref="C17:C18"/>
    <mergeCell ref="E17:F17"/>
    <mergeCell ref="G17:N18"/>
    <mergeCell ref="E18:F18"/>
    <mergeCell ref="B24:B25"/>
    <mergeCell ref="C24:D24"/>
    <mergeCell ref="E24:N24"/>
    <mergeCell ref="C25:D25"/>
    <mergeCell ref="E25:N25"/>
    <mergeCell ref="B21:B23"/>
    <mergeCell ref="C21:D21"/>
    <mergeCell ref="E21:H21"/>
    <mergeCell ref="I21:L21"/>
    <mergeCell ref="C22:D22"/>
    <mergeCell ref="E22:F22"/>
    <mergeCell ref="G14:N14"/>
    <mergeCell ref="J32:L32"/>
    <mergeCell ref="M32:M33"/>
    <mergeCell ref="N32:N33"/>
    <mergeCell ref="F33:H33"/>
    <mergeCell ref="J33:L33"/>
    <mergeCell ref="F34:H34"/>
    <mergeCell ref="J34:L34"/>
    <mergeCell ref="B28:N28"/>
    <mergeCell ref="B29:D29"/>
    <mergeCell ref="E29:H29"/>
    <mergeCell ref="I29:L29"/>
    <mergeCell ref="B30:D37"/>
    <mergeCell ref="E30:H30"/>
    <mergeCell ref="I30:L30"/>
    <mergeCell ref="F31:H31"/>
    <mergeCell ref="J31:L31"/>
    <mergeCell ref="F32:H32"/>
    <mergeCell ref="M34:M36"/>
    <mergeCell ref="N34:N36"/>
    <mergeCell ref="F35:H35"/>
    <mergeCell ref="M38:M40"/>
    <mergeCell ref="N38:N40"/>
    <mergeCell ref="F39:H39"/>
    <mergeCell ref="J39:L39"/>
    <mergeCell ref="F40:H40"/>
    <mergeCell ref="I40:L43"/>
    <mergeCell ref="F41:H41"/>
    <mergeCell ref="I35:L37"/>
    <mergeCell ref="F36:H36"/>
    <mergeCell ref="F37:H37"/>
    <mergeCell ref="B38:D43"/>
    <mergeCell ref="E38:H38"/>
    <mergeCell ref="I38:L38"/>
    <mergeCell ref="B44:D46"/>
    <mergeCell ref="I45:L45"/>
    <mergeCell ref="I46:L46"/>
    <mergeCell ref="F42:H42"/>
    <mergeCell ref="M42:M44"/>
    <mergeCell ref="F43:H43"/>
    <mergeCell ref="E44:H44"/>
    <mergeCell ref="I44:L44"/>
    <mergeCell ref="F45:H45"/>
    <mergeCell ref="N47:N49"/>
    <mergeCell ref="F48:H48"/>
    <mergeCell ref="F49:H49"/>
    <mergeCell ref="B50:D52"/>
    <mergeCell ref="E50:H50"/>
    <mergeCell ref="F46:H46"/>
    <mergeCell ref="B47:D49"/>
    <mergeCell ref="F47:H47"/>
    <mergeCell ref="J51:L51"/>
    <mergeCell ref="N50:N51"/>
    <mergeCell ref="F51:H51"/>
    <mergeCell ref="M53:M54"/>
    <mergeCell ref="N53:N54"/>
    <mergeCell ref="F54:H54"/>
    <mergeCell ref="F52:H52"/>
    <mergeCell ref="J52:L52"/>
    <mergeCell ref="B53:D56"/>
    <mergeCell ref="F53:H53"/>
    <mergeCell ref="F55:H55"/>
    <mergeCell ref="M55:M56"/>
    <mergeCell ref="F56:H56"/>
    <mergeCell ref="I53:L56"/>
    <mergeCell ref="I47:L47"/>
    <mergeCell ref="I48:L48"/>
    <mergeCell ref="I49:L49"/>
    <mergeCell ref="I50:L50"/>
    <mergeCell ref="M50:M51"/>
    <mergeCell ref="M47:M49"/>
    <mergeCell ref="E58:H59"/>
    <mergeCell ref="E60:H60"/>
    <mergeCell ref="J60:L60"/>
    <mergeCell ref="E61:H61"/>
    <mergeCell ref="J61:L61"/>
    <mergeCell ref="B64:N64"/>
    <mergeCell ref="M59:M60"/>
    <mergeCell ref="B62:D62"/>
    <mergeCell ref="E62:H62"/>
    <mergeCell ref="I62:L62"/>
    <mergeCell ref="B57:D58"/>
    <mergeCell ref="E57:H57"/>
    <mergeCell ref="I57:L57"/>
    <mergeCell ref="J58:L58"/>
    <mergeCell ref="B59:D61"/>
    <mergeCell ref="J59:L59"/>
    <mergeCell ref="F68:H68"/>
    <mergeCell ref="J68:L68"/>
    <mergeCell ref="F69:H69"/>
    <mergeCell ref="J69:L69"/>
    <mergeCell ref="F70:H70"/>
    <mergeCell ref="B65:N65"/>
    <mergeCell ref="B66:D66"/>
    <mergeCell ref="E66:H66"/>
    <mergeCell ref="I66:L66"/>
    <mergeCell ref="B67:D74"/>
    <mergeCell ref="E67:H67"/>
    <mergeCell ref="I67:L67"/>
    <mergeCell ref="M67:M91"/>
    <mergeCell ref="N67:N91"/>
    <mergeCell ref="F71:H71"/>
    <mergeCell ref="J70:L70"/>
    <mergeCell ref="B75:D80"/>
    <mergeCell ref="E75:H75"/>
    <mergeCell ref="I75:L75"/>
    <mergeCell ref="F76:H76"/>
    <mergeCell ref="J76:L76"/>
    <mergeCell ref="F77:H77"/>
    <mergeCell ref="I77:L80"/>
    <mergeCell ref="F78:H78"/>
    <mergeCell ref="F79:H79"/>
    <mergeCell ref="J71:L71"/>
    <mergeCell ref="F72:H72"/>
    <mergeCell ref="I72:L74"/>
    <mergeCell ref="F73:H73"/>
    <mergeCell ref="F74:H74"/>
    <mergeCell ref="F80:H80"/>
    <mergeCell ref="B81:D86"/>
    <mergeCell ref="E81:H81"/>
    <mergeCell ref="I81:L81"/>
    <mergeCell ref="F82:H82"/>
    <mergeCell ref="J82:L82"/>
    <mergeCell ref="F83:H83"/>
    <mergeCell ref="I83:L86"/>
    <mergeCell ref="F84:H84"/>
    <mergeCell ref="F85:H85"/>
    <mergeCell ref="F86:H86"/>
    <mergeCell ref="B87:D88"/>
    <mergeCell ref="E87:H87"/>
    <mergeCell ref="I87:L87"/>
    <mergeCell ref="J88:L88"/>
    <mergeCell ref="B89:D91"/>
    <mergeCell ref="J89:L89"/>
    <mergeCell ref="E88:H89"/>
    <mergeCell ref="E90:H90"/>
    <mergeCell ref="J90:L90"/>
    <mergeCell ref="B104:D104"/>
    <mergeCell ref="E104:N104"/>
    <mergeCell ref="B100:N100"/>
    <mergeCell ref="B101:D101"/>
    <mergeCell ref="E101:N101"/>
    <mergeCell ref="B102:D102"/>
    <mergeCell ref="E102:N102"/>
    <mergeCell ref="E91:H91"/>
    <mergeCell ref="J91:L91"/>
    <mergeCell ref="B96:D96"/>
    <mergeCell ref="E96:N96"/>
    <mergeCell ref="B97:D97"/>
    <mergeCell ref="E97:N97"/>
    <mergeCell ref="B103:D103"/>
    <mergeCell ref="E103:N103"/>
    <mergeCell ref="E92:H92"/>
    <mergeCell ref="I92:L92"/>
    <mergeCell ref="B94:N94"/>
    <mergeCell ref="B95:D95"/>
    <mergeCell ref="E95:N95"/>
    <mergeCell ref="B98:D98"/>
    <mergeCell ref="E98:N98"/>
    <mergeCell ref="B92:D9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BB6A-5E6D-C142-9CC8-5DA96C637006}">
  <dimension ref="A1:P104"/>
  <sheetViews>
    <sheetView workbookViewId="0">
      <selection activeCell="C5" sqref="C5:N5"/>
    </sheetView>
  </sheetViews>
  <sheetFormatPr baseColWidth="10" defaultColWidth="27.6640625" defaultRowHeight="17.25" customHeight="1"/>
  <cols>
    <col min="1" max="1" width="3" style="8" customWidth="1"/>
    <col min="2" max="2" width="9.5" style="8" customWidth="1"/>
    <col min="3" max="3" width="8" style="8" customWidth="1"/>
    <col min="4" max="4" width="18.33203125" style="8" customWidth="1"/>
    <col min="5" max="5" width="2" style="39" customWidth="1"/>
    <col min="6" max="6" width="7.6640625" style="8" customWidth="1"/>
    <col min="7" max="7" width="14.6640625" style="8" customWidth="1"/>
    <col min="8" max="8" width="10.6640625" style="8" customWidth="1"/>
    <col min="9" max="9" width="2" style="39" customWidth="1"/>
    <col min="10" max="10" width="7.6640625" style="8" customWidth="1"/>
    <col min="11" max="11" width="14.6640625" style="8" customWidth="1"/>
    <col min="12" max="12" width="10.6640625" style="8" customWidth="1"/>
    <col min="13" max="14" width="33.83203125" style="8" customWidth="1"/>
    <col min="15" max="15" width="3" style="8" customWidth="1"/>
    <col min="16" max="20" width="9.33203125" style="8" customWidth="1"/>
    <col min="21" max="16384" width="27.6640625" style="8"/>
  </cols>
  <sheetData>
    <row r="1" spans="1:15" ht="17.25" customHeight="1">
      <c r="A1" s="61" t="s">
        <v>166</v>
      </c>
    </row>
    <row r="2" spans="1:15" ht="17.25" customHeight="1">
      <c r="A2" s="61" t="s">
        <v>165</v>
      </c>
    </row>
    <row r="3" spans="1:15" ht="17.25" customHeight="1">
      <c r="A3" s="45"/>
    </row>
    <row r="4" spans="1:15" ht="17.25" customHeight="1">
      <c r="B4" s="587" t="s">
        <v>402</v>
      </c>
      <c r="C4" s="588"/>
      <c r="D4" s="588"/>
      <c r="E4" s="588"/>
      <c r="F4" s="588"/>
      <c r="G4" s="588"/>
      <c r="H4" s="588"/>
      <c r="I4" s="588"/>
      <c r="J4" s="588"/>
      <c r="K4" s="588"/>
      <c r="L4" s="588"/>
      <c r="M4" s="588"/>
      <c r="N4" s="589"/>
      <c r="O4" s="111"/>
    </row>
    <row r="5" spans="1:15" ht="17.25" customHeight="1">
      <c r="B5" s="9" t="s">
        <v>29</v>
      </c>
      <c r="C5" s="590" t="s">
        <v>121</v>
      </c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12"/>
    </row>
    <row r="6" spans="1:15" ht="17.25" customHeight="1">
      <c r="A6" s="45" t="s">
        <v>135</v>
      </c>
      <c r="B6" s="9" t="s">
        <v>30</v>
      </c>
      <c r="C6" s="591" t="s">
        <v>121</v>
      </c>
      <c r="D6" s="591"/>
      <c r="E6" s="591"/>
      <c r="F6" s="591"/>
      <c r="G6" s="591"/>
      <c r="H6" s="591"/>
      <c r="I6" s="591"/>
      <c r="J6" s="591"/>
      <c r="K6" s="591"/>
      <c r="L6" s="591"/>
      <c r="M6" s="591"/>
      <c r="N6" s="591"/>
      <c r="O6" s="48" t="s">
        <v>136</v>
      </c>
    </row>
    <row r="7" spans="1:15" ht="17.25" customHeight="1">
      <c r="A7" s="45" t="s">
        <v>135</v>
      </c>
      <c r="B7" s="9" t="s">
        <v>31</v>
      </c>
      <c r="C7" s="592" t="s">
        <v>121</v>
      </c>
      <c r="D7" s="592"/>
      <c r="E7" s="592"/>
      <c r="F7" s="592"/>
      <c r="G7" s="592"/>
      <c r="H7" s="592"/>
      <c r="I7" s="592"/>
      <c r="J7" s="592"/>
      <c r="K7" s="592"/>
      <c r="L7" s="592"/>
      <c r="M7" s="592"/>
      <c r="N7" s="592"/>
      <c r="O7" s="49" t="s">
        <v>136</v>
      </c>
    </row>
    <row r="8" spans="1:15" ht="17.25" customHeight="1">
      <c r="B8" s="9" t="s">
        <v>32</v>
      </c>
      <c r="C8" s="10" t="s">
        <v>121</v>
      </c>
      <c r="D8" s="593" t="s">
        <v>33</v>
      </c>
      <c r="E8" s="593"/>
      <c r="F8" s="593"/>
      <c r="G8" s="593"/>
      <c r="H8" s="593"/>
      <c r="I8" s="593"/>
      <c r="J8" s="593"/>
      <c r="K8" s="593"/>
      <c r="L8" s="593"/>
      <c r="M8" s="593"/>
      <c r="N8" s="594"/>
      <c r="O8" s="113"/>
    </row>
    <row r="9" spans="1:15" ht="17.25" customHeight="1">
      <c r="B9" s="9" t="s">
        <v>34</v>
      </c>
      <c r="C9" s="595" t="s">
        <v>122</v>
      </c>
      <c r="D9" s="596"/>
      <c r="E9" s="596"/>
      <c r="F9" s="596"/>
      <c r="G9" s="596"/>
      <c r="H9" s="596"/>
      <c r="I9" s="596"/>
      <c r="J9" s="596"/>
      <c r="K9" s="596"/>
      <c r="L9" s="596"/>
      <c r="M9" s="596"/>
      <c r="N9" s="597"/>
      <c r="O9" s="114"/>
    </row>
    <row r="10" spans="1:15" ht="17.25" customHeight="1">
      <c r="B10" s="9" t="s">
        <v>35</v>
      </c>
      <c r="C10" s="572" t="s">
        <v>123</v>
      </c>
      <c r="D10" s="572"/>
      <c r="E10" s="572"/>
      <c r="F10" s="572"/>
      <c r="G10" s="572"/>
      <c r="H10" s="572"/>
      <c r="I10" s="572"/>
      <c r="J10" s="572"/>
      <c r="K10" s="572"/>
      <c r="L10" s="572"/>
      <c r="M10" s="572"/>
      <c r="N10" s="572"/>
      <c r="O10" s="115"/>
    </row>
    <row r="11" spans="1:15" ht="17.25" customHeight="1">
      <c r="B11" s="11" t="s">
        <v>36</v>
      </c>
      <c r="C11" s="573" t="s">
        <v>406</v>
      </c>
      <c r="D11" s="574"/>
      <c r="E11" s="574"/>
      <c r="F11" s="574"/>
      <c r="G11" s="574"/>
      <c r="H11" s="574"/>
      <c r="I11" s="574"/>
      <c r="J11" s="574"/>
      <c r="K11" s="574"/>
      <c r="L11" s="574"/>
      <c r="M11" s="574"/>
      <c r="N11" s="575"/>
      <c r="O11" s="115"/>
    </row>
    <row r="12" spans="1:15" ht="17.25" customHeight="1">
      <c r="B12" s="11" t="s">
        <v>37</v>
      </c>
      <c r="C12" s="576" t="s">
        <v>530</v>
      </c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578"/>
      <c r="O12" s="116"/>
    </row>
    <row r="13" spans="1:15" ht="17.25" customHeight="1">
      <c r="B13" s="559" t="s">
        <v>160</v>
      </c>
      <c r="C13" s="683" t="s">
        <v>39</v>
      </c>
      <c r="D13" s="12" t="s">
        <v>40</v>
      </c>
      <c r="E13" s="677" t="s">
        <v>121</v>
      </c>
      <c r="F13" s="678"/>
      <c r="G13" s="582" t="s">
        <v>151</v>
      </c>
      <c r="H13" s="582"/>
      <c r="I13" s="582"/>
      <c r="J13" s="582"/>
      <c r="K13" s="582"/>
      <c r="L13" s="582"/>
      <c r="M13" s="582"/>
      <c r="N13" s="582"/>
      <c r="O13" s="117"/>
    </row>
    <row r="14" spans="1:15" ht="17.25" customHeight="1">
      <c r="B14" s="568"/>
      <c r="C14" s="683"/>
      <c r="D14" s="13" t="s">
        <v>41</v>
      </c>
      <c r="E14" s="677" t="s">
        <v>121</v>
      </c>
      <c r="F14" s="678"/>
      <c r="G14" s="680" t="s">
        <v>42</v>
      </c>
      <c r="H14" s="681"/>
      <c r="I14" s="681"/>
      <c r="J14" s="681"/>
      <c r="K14" s="681"/>
      <c r="L14" s="681"/>
      <c r="M14" s="681"/>
      <c r="N14" s="682"/>
      <c r="O14" s="117"/>
    </row>
    <row r="15" spans="1:15" ht="17.25" customHeight="1">
      <c r="B15" s="568"/>
      <c r="C15" s="683"/>
      <c r="D15" s="13" t="s">
        <v>43</v>
      </c>
      <c r="E15" s="677" t="s">
        <v>121</v>
      </c>
      <c r="F15" s="678"/>
      <c r="G15" s="584" t="s">
        <v>170</v>
      </c>
      <c r="H15" s="585"/>
      <c r="I15" s="585"/>
      <c r="J15" s="585"/>
      <c r="K15" s="585"/>
      <c r="L15" s="585"/>
      <c r="M15" s="585"/>
      <c r="N15" s="586"/>
      <c r="O15" s="117"/>
    </row>
    <row r="16" spans="1:15" ht="17.25" customHeight="1">
      <c r="B16" s="568"/>
      <c r="C16" s="683"/>
      <c r="D16" s="13" t="s">
        <v>44</v>
      </c>
      <c r="E16" s="677" t="s">
        <v>121</v>
      </c>
      <c r="F16" s="678"/>
      <c r="G16" s="584" t="s">
        <v>200</v>
      </c>
      <c r="H16" s="585"/>
      <c r="I16" s="585"/>
      <c r="J16" s="585"/>
      <c r="K16" s="585"/>
      <c r="L16" s="585"/>
      <c r="M16" s="585"/>
      <c r="N16" s="586"/>
      <c r="O16" s="117"/>
    </row>
    <row r="17" spans="1:15" ht="17.25" customHeight="1">
      <c r="B17" s="568"/>
      <c r="C17" s="580" t="s">
        <v>45</v>
      </c>
      <c r="D17" s="13" t="s">
        <v>46</v>
      </c>
      <c r="E17" s="677" t="s">
        <v>121</v>
      </c>
      <c r="F17" s="678"/>
      <c r="G17" s="561" t="s">
        <v>47</v>
      </c>
      <c r="H17" s="562"/>
      <c r="I17" s="562"/>
      <c r="J17" s="562"/>
      <c r="K17" s="562"/>
      <c r="L17" s="562"/>
      <c r="M17" s="562"/>
      <c r="N17" s="563"/>
      <c r="O17" s="117"/>
    </row>
    <row r="18" spans="1:15" ht="17.25" customHeight="1">
      <c r="B18" s="568"/>
      <c r="C18" s="581"/>
      <c r="D18" s="13" t="s">
        <v>48</v>
      </c>
      <c r="E18" s="677" t="s">
        <v>121</v>
      </c>
      <c r="F18" s="678"/>
      <c r="G18" s="564"/>
      <c r="H18" s="565"/>
      <c r="I18" s="565"/>
      <c r="J18" s="565"/>
      <c r="K18" s="565"/>
      <c r="L18" s="565"/>
      <c r="M18" s="565"/>
      <c r="N18" s="566"/>
      <c r="O18" s="117"/>
    </row>
    <row r="19" spans="1:15" ht="17.25" customHeight="1">
      <c r="B19" s="568"/>
      <c r="C19" s="579" t="s">
        <v>49</v>
      </c>
      <c r="D19" s="13" t="s">
        <v>50</v>
      </c>
      <c r="E19" s="677" t="s">
        <v>121</v>
      </c>
      <c r="F19" s="678"/>
      <c r="G19" s="561" t="s">
        <v>423</v>
      </c>
      <c r="H19" s="562"/>
      <c r="I19" s="562"/>
      <c r="J19" s="562"/>
      <c r="K19" s="562"/>
      <c r="L19" s="562"/>
      <c r="M19" s="562"/>
      <c r="N19" s="563"/>
      <c r="O19" s="117"/>
    </row>
    <row r="20" spans="1:15" ht="17.25" customHeight="1">
      <c r="B20" s="560"/>
      <c r="C20" s="581"/>
      <c r="D20" s="13" t="s">
        <v>51</v>
      </c>
      <c r="E20" s="677" t="s">
        <v>121</v>
      </c>
      <c r="F20" s="678"/>
      <c r="G20" s="564"/>
      <c r="H20" s="565"/>
      <c r="I20" s="565"/>
      <c r="J20" s="565"/>
      <c r="K20" s="565"/>
      <c r="L20" s="565"/>
      <c r="M20" s="565"/>
      <c r="N20" s="566"/>
      <c r="O20" s="117"/>
    </row>
    <row r="21" spans="1:15" ht="17.25" customHeight="1">
      <c r="B21" s="559" t="s">
        <v>52</v>
      </c>
      <c r="C21" s="679"/>
      <c r="D21" s="679"/>
      <c r="E21" s="571" t="s">
        <v>408</v>
      </c>
      <c r="F21" s="571"/>
      <c r="G21" s="571"/>
      <c r="H21" s="571"/>
      <c r="I21" s="571" t="s">
        <v>409</v>
      </c>
      <c r="J21" s="571"/>
      <c r="K21" s="571"/>
      <c r="L21" s="571"/>
      <c r="M21" s="14" t="s">
        <v>55</v>
      </c>
      <c r="N21" s="14" t="s">
        <v>56</v>
      </c>
      <c r="O21" s="118"/>
    </row>
    <row r="22" spans="1:15" ht="17.25" customHeight="1">
      <c r="B22" s="568"/>
      <c r="C22" s="571" t="s">
        <v>57</v>
      </c>
      <c r="D22" s="571"/>
      <c r="E22" s="554" t="s">
        <v>124</v>
      </c>
      <c r="F22" s="555"/>
      <c r="G22" s="15" t="s">
        <v>125</v>
      </c>
      <c r="H22" s="16" t="s">
        <v>126</v>
      </c>
      <c r="I22" s="554" t="s">
        <v>124</v>
      </c>
      <c r="J22" s="555"/>
      <c r="K22" s="15" t="s">
        <v>125</v>
      </c>
      <c r="L22" s="16" t="s">
        <v>126</v>
      </c>
      <c r="M22" s="675" t="s">
        <v>410</v>
      </c>
      <c r="N22" s="675" t="s">
        <v>58</v>
      </c>
      <c r="O22" s="119"/>
    </row>
    <row r="23" spans="1:15" ht="17.25" customHeight="1">
      <c r="B23" s="560"/>
      <c r="C23" s="571" t="s">
        <v>59</v>
      </c>
      <c r="D23" s="571"/>
      <c r="E23" s="554" t="s">
        <v>124</v>
      </c>
      <c r="F23" s="555"/>
      <c r="G23" s="15" t="s">
        <v>125</v>
      </c>
      <c r="H23" s="16" t="s">
        <v>126</v>
      </c>
      <c r="I23" s="554" t="s">
        <v>124</v>
      </c>
      <c r="J23" s="555"/>
      <c r="K23" s="15" t="s">
        <v>125</v>
      </c>
      <c r="L23" s="16" t="s">
        <v>126</v>
      </c>
      <c r="M23" s="676"/>
      <c r="N23" s="676"/>
      <c r="O23" s="119"/>
    </row>
    <row r="24" spans="1:15" ht="17.25" customHeight="1">
      <c r="B24" s="559" t="s">
        <v>60</v>
      </c>
      <c r="C24" s="571" t="s">
        <v>61</v>
      </c>
      <c r="D24" s="571"/>
      <c r="E24" s="595" t="s">
        <v>62</v>
      </c>
      <c r="F24" s="596"/>
      <c r="G24" s="596"/>
      <c r="H24" s="596"/>
      <c r="I24" s="596"/>
      <c r="J24" s="596"/>
      <c r="K24" s="596"/>
      <c r="L24" s="596"/>
      <c r="M24" s="596"/>
      <c r="N24" s="597"/>
      <c r="O24" s="120"/>
    </row>
    <row r="25" spans="1:15" ht="17.25" customHeight="1">
      <c r="B25" s="560"/>
      <c r="C25" s="571" t="s">
        <v>63</v>
      </c>
      <c r="D25" s="571"/>
      <c r="E25" s="595" t="s">
        <v>128</v>
      </c>
      <c r="F25" s="596"/>
      <c r="G25" s="596"/>
      <c r="H25" s="596"/>
      <c r="I25" s="596"/>
      <c r="J25" s="596"/>
      <c r="K25" s="596"/>
      <c r="L25" s="596"/>
      <c r="M25" s="596"/>
      <c r="N25" s="597"/>
      <c r="O25" s="120"/>
    </row>
    <row r="26" spans="1:15" ht="17.25" customHeight="1">
      <c r="A26" s="45" t="s">
        <v>135</v>
      </c>
      <c r="O26" s="45" t="s">
        <v>136</v>
      </c>
    </row>
    <row r="27" spans="1:15" ht="17.25" customHeight="1">
      <c r="B27" s="626" t="s">
        <v>411</v>
      </c>
      <c r="C27" s="626"/>
      <c r="D27" s="626"/>
      <c r="E27" s="626"/>
      <c r="F27" s="626"/>
      <c r="G27" s="626"/>
      <c r="H27" s="626"/>
      <c r="I27" s="626"/>
      <c r="J27" s="626"/>
      <c r="K27" s="626"/>
      <c r="L27" s="626"/>
      <c r="M27" s="626"/>
      <c r="N27" s="626"/>
      <c r="O27" s="121"/>
    </row>
    <row r="28" spans="1:15" ht="17.25" customHeight="1">
      <c r="B28" s="556" t="s">
        <v>167</v>
      </c>
      <c r="C28" s="557"/>
      <c r="D28" s="557"/>
      <c r="E28" s="557"/>
      <c r="F28" s="557"/>
      <c r="G28" s="557"/>
      <c r="H28" s="557"/>
      <c r="I28" s="557"/>
      <c r="J28" s="557"/>
      <c r="K28" s="557"/>
      <c r="L28" s="557"/>
      <c r="M28" s="557"/>
      <c r="N28" s="558"/>
      <c r="O28" s="122"/>
    </row>
    <row r="29" spans="1:15" ht="17.25" customHeight="1">
      <c r="B29" s="667" t="s">
        <v>64</v>
      </c>
      <c r="C29" s="667"/>
      <c r="D29" s="667"/>
      <c r="E29" s="520" t="s">
        <v>412</v>
      </c>
      <c r="F29" s="521"/>
      <c r="G29" s="521"/>
      <c r="H29" s="522"/>
      <c r="I29" s="520" t="s">
        <v>413</v>
      </c>
      <c r="J29" s="521"/>
      <c r="K29" s="521"/>
      <c r="L29" s="522"/>
      <c r="M29" s="17" t="s">
        <v>55</v>
      </c>
      <c r="N29" s="17" t="s">
        <v>56</v>
      </c>
      <c r="O29" s="123"/>
    </row>
    <row r="30" spans="1:15" ht="17.25" customHeight="1">
      <c r="B30" s="526" t="s">
        <v>424</v>
      </c>
      <c r="C30" s="527"/>
      <c r="D30" s="528"/>
      <c r="E30" s="668">
        <v>0</v>
      </c>
      <c r="F30" s="668"/>
      <c r="G30" s="668"/>
      <c r="H30" s="669"/>
      <c r="I30" s="670">
        <v>0</v>
      </c>
      <c r="J30" s="671"/>
      <c r="K30" s="671"/>
      <c r="L30" s="672"/>
      <c r="M30" s="18"/>
      <c r="N30" s="19"/>
      <c r="O30" s="124"/>
    </row>
    <row r="31" spans="1:15" ht="17.25" customHeight="1">
      <c r="B31" s="526"/>
      <c r="C31" s="527"/>
      <c r="D31" s="528"/>
      <c r="E31" s="32" t="s">
        <v>66</v>
      </c>
      <c r="F31" s="673">
        <v>0</v>
      </c>
      <c r="G31" s="673"/>
      <c r="H31" s="674"/>
      <c r="I31" s="32" t="s">
        <v>66</v>
      </c>
      <c r="J31" s="512" t="s">
        <v>129</v>
      </c>
      <c r="K31" s="512"/>
      <c r="L31" s="513"/>
      <c r="M31" s="20" t="s">
        <v>67</v>
      </c>
      <c r="N31" s="20" t="s">
        <v>68</v>
      </c>
      <c r="O31" s="124"/>
    </row>
    <row r="32" spans="1:15" ht="17.25" customHeight="1">
      <c r="B32" s="526"/>
      <c r="C32" s="527"/>
      <c r="D32" s="528"/>
      <c r="E32" s="32" t="s">
        <v>69</v>
      </c>
      <c r="F32" s="540">
        <v>0</v>
      </c>
      <c r="G32" s="540"/>
      <c r="H32" s="541"/>
      <c r="I32" s="32" t="s">
        <v>69</v>
      </c>
      <c r="J32" s="512" t="s">
        <v>130</v>
      </c>
      <c r="K32" s="512"/>
      <c r="L32" s="513"/>
      <c r="M32" s="407" t="s">
        <v>70</v>
      </c>
      <c r="N32" s="407" t="s">
        <v>71</v>
      </c>
      <c r="O32" s="124"/>
    </row>
    <row r="33" spans="2:16" ht="17.25" customHeight="1">
      <c r="B33" s="526"/>
      <c r="C33" s="527"/>
      <c r="D33" s="528"/>
      <c r="E33" s="32" t="s">
        <v>72</v>
      </c>
      <c r="F33" s="514">
        <v>0</v>
      </c>
      <c r="G33" s="514"/>
      <c r="H33" s="515"/>
      <c r="I33" s="32" t="s">
        <v>72</v>
      </c>
      <c r="J33" s="379">
        <v>0</v>
      </c>
      <c r="K33" s="379"/>
      <c r="L33" s="380"/>
      <c r="M33" s="407"/>
      <c r="N33" s="427"/>
      <c r="O33" s="124"/>
    </row>
    <row r="34" spans="2:16" ht="17.25" customHeight="1">
      <c r="B34" s="526"/>
      <c r="C34" s="527"/>
      <c r="D34" s="528"/>
      <c r="E34" s="32" t="s">
        <v>73</v>
      </c>
      <c r="F34" s="516">
        <v>0</v>
      </c>
      <c r="G34" s="516"/>
      <c r="H34" s="517"/>
      <c r="I34" s="32" t="s">
        <v>73</v>
      </c>
      <c r="J34" s="519">
        <v>0</v>
      </c>
      <c r="K34" s="666"/>
      <c r="L34" s="666"/>
      <c r="M34" s="357" t="s">
        <v>74</v>
      </c>
      <c r="N34" s="357" t="s">
        <v>75</v>
      </c>
      <c r="O34" s="124"/>
    </row>
    <row r="35" spans="2:16" ht="17.25" customHeight="1">
      <c r="B35" s="526"/>
      <c r="C35" s="527"/>
      <c r="D35" s="528"/>
      <c r="E35" s="32" t="s">
        <v>76</v>
      </c>
      <c r="F35" s="487">
        <v>0</v>
      </c>
      <c r="G35" s="487"/>
      <c r="H35" s="488"/>
      <c r="I35" s="542" t="s">
        <v>169</v>
      </c>
      <c r="J35" s="543"/>
      <c r="K35" s="543"/>
      <c r="L35" s="544"/>
      <c r="M35" s="357"/>
      <c r="N35" s="407"/>
      <c r="O35" s="124"/>
    </row>
    <row r="36" spans="2:16" ht="17.25" customHeight="1">
      <c r="B36" s="526"/>
      <c r="C36" s="527"/>
      <c r="D36" s="528"/>
      <c r="E36" s="32" t="s">
        <v>77</v>
      </c>
      <c r="F36" s="508">
        <v>0</v>
      </c>
      <c r="G36" s="508"/>
      <c r="H36" s="509"/>
      <c r="I36" s="545"/>
      <c r="J36" s="546"/>
      <c r="K36" s="546"/>
      <c r="L36" s="547"/>
      <c r="M36" s="357"/>
      <c r="N36" s="407"/>
      <c r="O36" s="124"/>
    </row>
    <row r="37" spans="2:16" ht="17.25" customHeight="1">
      <c r="B37" s="526"/>
      <c r="C37" s="527"/>
      <c r="D37" s="528"/>
      <c r="E37" s="32" t="s">
        <v>78</v>
      </c>
      <c r="F37" s="510">
        <v>0</v>
      </c>
      <c r="G37" s="510"/>
      <c r="H37" s="511"/>
      <c r="I37" s="548"/>
      <c r="J37" s="549"/>
      <c r="K37" s="549"/>
      <c r="L37" s="550"/>
      <c r="M37" s="21"/>
      <c r="N37" s="22"/>
      <c r="O37" s="124"/>
    </row>
    <row r="38" spans="2:16" ht="17.25" customHeight="1">
      <c r="B38" s="443" t="s">
        <v>527</v>
      </c>
      <c r="C38" s="444"/>
      <c r="D38" s="445"/>
      <c r="E38" s="452">
        <v>0</v>
      </c>
      <c r="F38" s="453"/>
      <c r="G38" s="453"/>
      <c r="H38" s="454"/>
      <c r="I38" s="616">
        <v>0</v>
      </c>
      <c r="J38" s="617"/>
      <c r="K38" s="617"/>
      <c r="L38" s="618"/>
      <c r="M38" s="407" t="s">
        <v>172</v>
      </c>
      <c r="N38" s="467" t="s">
        <v>80</v>
      </c>
      <c r="O38" s="124"/>
    </row>
    <row r="39" spans="2:16" ht="17.25" customHeight="1">
      <c r="B39" s="446"/>
      <c r="C39" s="447"/>
      <c r="D39" s="448"/>
      <c r="E39" s="35" t="s">
        <v>66</v>
      </c>
      <c r="F39" s="468">
        <v>0</v>
      </c>
      <c r="G39" s="468"/>
      <c r="H39" s="469"/>
      <c r="I39" s="33" t="s">
        <v>66</v>
      </c>
      <c r="J39" s="471">
        <v>0</v>
      </c>
      <c r="K39" s="646"/>
      <c r="L39" s="646"/>
      <c r="M39" s="407"/>
      <c r="N39" s="467"/>
      <c r="O39" s="124"/>
    </row>
    <row r="40" spans="2:16" ht="17.25" customHeight="1">
      <c r="B40" s="446"/>
      <c r="C40" s="447"/>
      <c r="D40" s="448"/>
      <c r="E40" s="35" t="s">
        <v>69</v>
      </c>
      <c r="F40" s="472">
        <v>0</v>
      </c>
      <c r="G40" s="472"/>
      <c r="H40" s="473"/>
      <c r="I40" s="474" t="s">
        <v>82</v>
      </c>
      <c r="J40" s="659"/>
      <c r="K40" s="659"/>
      <c r="L40" s="660"/>
      <c r="M40" s="407"/>
      <c r="N40" s="467"/>
      <c r="O40" s="124"/>
    </row>
    <row r="41" spans="2:16" ht="17.25" customHeight="1">
      <c r="B41" s="446"/>
      <c r="C41" s="447"/>
      <c r="D41" s="448"/>
      <c r="E41" s="35" t="s">
        <v>72</v>
      </c>
      <c r="F41" s="483">
        <v>0</v>
      </c>
      <c r="G41" s="483"/>
      <c r="H41" s="484"/>
      <c r="I41" s="477"/>
      <c r="J41" s="661"/>
      <c r="K41" s="661"/>
      <c r="L41" s="662"/>
      <c r="M41" s="23"/>
      <c r="N41" s="23"/>
      <c r="O41" s="124"/>
    </row>
    <row r="42" spans="2:16" ht="17.25" customHeight="1">
      <c r="B42" s="446"/>
      <c r="C42" s="447"/>
      <c r="D42" s="448"/>
      <c r="E42" s="35" t="s">
        <v>73</v>
      </c>
      <c r="F42" s="436">
        <v>0</v>
      </c>
      <c r="G42" s="436"/>
      <c r="H42" s="437"/>
      <c r="I42" s="477"/>
      <c r="J42" s="661"/>
      <c r="K42" s="661"/>
      <c r="L42" s="662"/>
      <c r="M42" s="407" t="s">
        <v>171</v>
      </c>
      <c r="N42" s="23"/>
      <c r="O42" s="124"/>
    </row>
    <row r="43" spans="2:16" ht="17.25" customHeight="1">
      <c r="B43" s="449"/>
      <c r="C43" s="450"/>
      <c r="D43" s="451"/>
      <c r="E43" s="35" t="s">
        <v>76</v>
      </c>
      <c r="F43" s="485">
        <v>0</v>
      </c>
      <c r="G43" s="485"/>
      <c r="H43" s="486"/>
      <c r="I43" s="663"/>
      <c r="J43" s="664"/>
      <c r="K43" s="664"/>
      <c r="L43" s="665"/>
      <c r="M43" s="407"/>
      <c r="N43" s="23"/>
      <c r="O43" s="124"/>
    </row>
    <row r="44" spans="2:16" ht="17.25" customHeight="1">
      <c r="B44" s="635" t="s">
        <v>417</v>
      </c>
      <c r="C44" s="636"/>
      <c r="D44" s="637"/>
      <c r="E44" s="452">
        <v>0</v>
      </c>
      <c r="F44" s="453"/>
      <c r="G44" s="453"/>
      <c r="H44" s="454"/>
      <c r="I44" s="616">
        <v>0</v>
      </c>
      <c r="J44" s="617"/>
      <c r="K44" s="617"/>
      <c r="L44" s="618"/>
      <c r="M44" s="407"/>
      <c r="N44" s="23"/>
      <c r="O44" s="124"/>
      <c r="P44" s="140"/>
    </row>
    <row r="45" spans="2:16" ht="17.25" customHeight="1">
      <c r="B45" s="638"/>
      <c r="C45" s="639"/>
      <c r="D45" s="640"/>
      <c r="E45" s="33" t="s">
        <v>66</v>
      </c>
      <c r="F45" s="644">
        <v>0</v>
      </c>
      <c r="G45" s="644"/>
      <c r="H45" s="645"/>
      <c r="I45" s="33" t="s">
        <v>66</v>
      </c>
      <c r="J45" s="471">
        <v>0</v>
      </c>
      <c r="K45" s="646"/>
      <c r="L45" s="646"/>
      <c r="M45" s="24" t="s">
        <v>85</v>
      </c>
      <c r="N45" s="25" t="s">
        <v>85</v>
      </c>
      <c r="O45" s="124"/>
    </row>
    <row r="46" spans="2:16" ht="17.25" customHeight="1">
      <c r="B46" s="638"/>
      <c r="C46" s="639"/>
      <c r="D46" s="640"/>
      <c r="E46" s="33" t="s">
        <v>69</v>
      </c>
      <c r="F46" s="464">
        <v>0</v>
      </c>
      <c r="G46" s="464"/>
      <c r="H46" s="465"/>
      <c r="I46" s="647" t="s">
        <v>418</v>
      </c>
      <c r="J46" s="648"/>
      <c r="K46" s="648"/>
      <c r="L46" s="649"/>
      <c r="M46" s="20" t="s">
        <v>86</v>
      </c>
      <c r="N46" s="20" t="s">
        <v>87</v>
      </c>
      <c r="O46" s="124"/>
    </row>
    <row r="47" spans="2:16" ht="17.25" customHeight="1">
      <c r="B47" s="638"/>
      <c r="C47" s="639"/>
      <c r="D47" s="640"/>
      <c r="E47" s="33" t="s">
        <v>72</v>
      </c>
      <c r="F47" s="501">
        <v>0</v>
      </c>
      <c r="G47" s="501"/>
      <c r="H47" s="502"/>
      <c r="I47" s="647"/>
      <c r="J47" s="648"/>
      <c r="K47" s="648"/>
      <c r="L47" s="649"/>
      <c r="M47" s="407" t="s">
        <v>174</v>
      </c>
      <c r="N47" s="407" t="s">
        <v>88</v>
      </c>
      <c r="O47" s="124"/>
    </row>
    <row r="48" spans="2:16" ht="17.25" customHeight="1">
      <c r="B48" s="638"/>
      <c r="C48" s="639"/>
      <c r="D48" s="640"/>
      <c r="E48" s="33" t="s">
        <v>73</v>
      </c>
      <c r="F48" s="436">
        <v>0</v>
      </c>
      <c r="G48" s="436"/>
      <c r="H48" s="437"/>
      <c r="I48" s="647"/>
      <c r="J48" s="648"/>
      <c r="K48" s="648"/>
      <c r="L48" s="649"/>
      <c r="M48" s="407"/>
      <c r="N48" s="407"/>
      <c r="O48" s="124"/>
    </row>
    <row r="49" spans="1:15" ht="17.25" customHeight="1">
      <c r="B49" s="641"/>
      <c r="C49" s="642"/>
      <c r="D49" s="643"/>
      <c r="E49" s="33" t="s">
        <v>76</v>
      </c>
      <c r="F49" s="485">
        <v>0</v>
      </c>
      <c r="G49" s="485"/>
      <c r="H49" s="486"/>
      <c r="I49" s="650"/>
      <c r="J49" s="651"/>
      <c r="K49" s="651"/>
      <c r="L49" s="652"/>
      <c r="M49" s="407"/>
      <c r="N49" s="407"/>
      <c r="O49" s="124"/>
    </row>
    <row r="50" spans="1:15" ht="17.25" customHeight="1">
      <c r="B50" s="415" t="s">
        <v>524</v>
      </c>
      <c r="C50" s="416"/>
      <c r="D50" s="417"/>
      <c r="E50" s="653">
        <v>0</v>
      </c>
      <c r="F50" s="654"/>
      <c r="G50" s="654"/>
      <c r="H50" s="655"/>
      <c r="I50" s="656">
        <v>0</v>
      </c>
      <c r="J50" s="657"/>
      <c r="K50" s="657"/>
      <c r="L50" s="658"/>
      <c r="M50" s="357" t="s">
        <v>419</v>
      </c>
      <c r="N50" s="357" t="s">
        <v>90</v>
      </c>
      <c r="O50" s="124"/>
    </row>
    <row r="51" spans="1:15" ht="17.25" customHeight="1">
      <c r="B51" s="418"/>
      <c r="C51" s="419"/>
      <c r="D51" s="420"/>
      <c r="E51" s="34" t="s">
        <v>66</v>
      </c>
      <c r="F51" s="428">
        <v>0</v>
      </c>
      <c r="G51" s="428"/>
      <c r="H51" s="429"/>
      <c r="I51" s="34" t="s">
        <v>66</v>
      </c>
      <c r="J51" s="431">
        <v>0</v>
      </c>
      <c r="K51" s="634"/>
      <c r="L51" s="634"/>
      <c r="M51" s="427"/>
      <c r="N51" s="357"/>
      <c r="O51" s="124"/>
    </row>
    <row r="52" spans="1:15" ht="17.25" customHeight="1">
      <c r="B52" s="418"/>
      <c r="C52" s="419"/>
      <c r="D52" s="420"/>
      <c r="E52" s="34" t="s">
        <v>69</v>
      </c>
      <c r="F52" s="432">
        <v>0</v>
      </c>
      <c r="G52" s="432"/>
      <c r="H52" s="433"/>
      <c r="I52" s="34" t="s">
        <v>69</v>
      </c>
      <c r="J52" s="434">
        <v>0</v>
      </c>
      <c r="K52" s="434"/>
      <c r="L52" s="435"/>
      <c r="M52" s="24"/>
      <c r="N52" s="21"/>
      <c r="O52" s="124"/>
    </row>
    <row r="53" spans="1:15" ht="17.25" customHeight="1">
      <c r="B53" s="390" t="s">
        <v>529</v>
      </c>
      <c r="C53" s="391"/>
      <c r="D53" s="392"/>
      <c r="E53" s="34" t="s">
        <v>72</v>
      </c>
      <c r="F53" s="396">
        <v>0</v>
      </c>
      <c r="G53" s="396"/>
      <c r="H53" s="397"/>
      <c r="I53" s="398"/>
      <c r="J53" s="399"/>
      <c r="K53" s="399"/>
      <c r="L53" s="400"/>
      <c r="M53" s="407" t="s">
        <v>186</v>
      </c>
      <c r="N53" s="408" t="s">
        <v>92</v>
      </c>
      <c r="O53" s="124"/>
    </row>
    <row r="54" spans="1:15" ht="17.25" customHeight="1">
      <c r="B54" s="390"/>
      <c r="C54" s="391"/>
      <c r="D54" s="392"/>
      <c r="E54" s="34" t="s">
        <v>73</v>
      </c>
      <c r="F54" s="409">
        <v>0</v>
      </c>
      <c r="G54" s="409"/>
      <c r="H54" s="410"/>
      <c r="I54" s="401"/>
      <c r="J54" s="402"/>
      <c r="K54" s="402"/>
      <c r="L54" s="403"/>
      <c r="M54" s="407"/>
      <c r="N54" s="408"/>
      <c r="O54" s="124"/>
    </row>
    <row r="55" spans="1:15" ht="17.25" customHeight="1">
      <c r="B55" s="390"/>
      <c r="C55" s="391"/>
      <c r="D55" s="392"/>
      <c r="E55" s="34" t="s">
        <v>76</v>
      </c>
      <c r="F55" s="411">
        <v>0</v>
      </c>
      <c r="G55" s="411"/>
      <c r="H55" s="412"/>
      <c r="I55" s="401"/>
      <c r="J55" s="402"/>
      <c r="K55" s="402"/>
      <c r="L55" s="403"/>
      <c r="M55" s="357" t="s">
        <v>187</v>
      </c>
      <c r="N55" s="26"/>
      <c r="O55" s="124"/>
    </row>
    <row r="56" spans="1:15" ht="17.25" customHeight="1">
      <c r="B56" s="393"/>
      <c r="C56" s="394"/>
      <c r="D56" s="395"/>
      <c r="E56" s="34" t="s">
        <v>77</v>
      </c>
      <c r="F56" s="413">
        <v>0</v>
      </c>
      <c r="G56" s="413"/>
      <c r="H56" s="414"/>
      <c r="I56" s="404"/>
      <c r="J56" s="405"/>
      <c r="K56" s="405"/>
      <c r="L56" s="406"/>
      <c r="M56" s="427"/>
      <c r="N56" s="26"/>
      <c r="O56" s="124"/>
    </row>
    <row r="57" spans="1:15" ht="17.25" customHeight="1">
      <c r="B57" s="367" t="s">
        <v>93</v>
      </c>
      <c r="C57" s="368"/>
      <c r="D57" s="369"/>
      <c r="E57" s="373">
        <v>0</v>
      </c>
      <c r="F57" s="374"/>
      <c r="G57" s="374"/>
      <c r="H57" s="375"/>
      <c r="I57" s="376">
        <v>0</v>
      </c>
      <c r="J57" s="377"/>
      <c r="K57" s="377"/>
      <c r="L57" s="378"/>
      <c r="M57" s="23"/>
      <c r="N57" s="22"/>
      <c r="O57" s="124"/>
    </row>
    <row r="58" spans="1:15" ht="17.25" customHeight="1">
      <c r="B58" s="370"/>
      <c r="C58" s="371"/>
      <c r="D58" s="372"/>
      <c r="E58" s="341" t="s">
        <v>182</v>
      </c>
      <c r="F58" s="342"/>
      <c r="G58" s="342"/>
      <c r="H58" s="343"/>
      <c r="I58" s="40" t="s">
        <v>66</v>
      </c>
      <c r="J58" s="379">
        <v>0</v>
      </c>
      <c r="K58" s="379"/>
      <c r="L58" s="380"/>
      <c r="M58" s="23" t="s">
        <v>94</v>
      </c>
      <c r="N58" s="26"/>
      <c r="O58" s="124"/>
    </row>
    <row r="59" spans="1:15" ht="17.25" customHeight="1">
      <c r="B59" s="381" t="s">
        <v>181</v>
      </c>
      <c r="C59" s="382"/>
      <c r="D59" s="383"/>
      <c r="E59" s="344"/>
      <c r="F59" s="345"/>
      <c r="G59" s="345"/>
      <c r="H59" s="346"/>
      <c r="I59" s="62" t="s">
        <v>69</v>
      </c>
      <c r="J59" s="388" t="s">
        <v>180</v>
      </c>
      <c r="K59" s="388"/>
      <c r="L59" s="389"/>
      <c r="M59" s="357" t="s">
        <v>95</v>
      </c>
      <c r="N59" s="26"/>
      <c r="O59" s="124"/>
    </row>
    <row r="60" spans="1:15" ht="17.25" customHeight="1">
      <c r="B60" s="384"/>
      <c r="C60" s="382"/>
      <c r="D60" s="383"/>
      <c r="E60" s="347" t="s">
        <v>183</v>
      </c>
      <c r="F60" s="348"/>
      <c r="G60" s="348"/>
      <c r="H60" s="349"/>
      <c r="I60" s="63"/>
      <c r="J60" s="350" t="s">
        <v>185</v>
      </c>
      <c r="K60" s="350"/>
      <c r="L60" s="351"/>
      <c r="M60" s="427"/>
      <c r="N60" s="22"/>
      <c r="O60" s="124"/>
    </row>
    <row r="61" spans="1:15" ht="17.25" customHeight="1">
      <c r="B61" s="385"/>
      <c r="C61" s="386"/>
      <c r="D61" s="387"/>
      <c r="E61" s="347" t="s">
        <v>184</v>
      </c>
      <c r="F61" s="348"/>
      <c r="G61" s="348"/>
      <c r="H61" s="349"/>
      <c r="I61" s="64"/>
      <c r="J61" s="352" t="s">
        <v>188</v>
      </c>
      <c r="K61" s="352"/>
      <c r="L61" s="353"/>
      <c r="M61" s="27"/>
      <c r="N61" s="27"/>
      <c r="O61" s="124"/>
    </row>
    <row r="62" spans="1:15" ht="17.25" customHeight="1">
      <c r="B62" s="358" t="s">
        <v>96</v>
      </c>
      <c r="C62" s="359"/>
      <c r="D62" s="360"/>
      <c r="E62" s="361">
        <v>0</v>
      </c>
      <c r="F62" s="362"/>
      <c r="G62" s="362"/>
      <c r="H62" s="363"/>
      <c r="I62" s="364">
        <v>0</v>
      </c>
      <c r="J62" s="365"/>
      <c r="K62" s="365"/>
      <c r="L62" s="366"/>
      <c r="M62" s="28" t="s">
        <v>97</v>
      </c>
      <c r="N62" s="28" t="s">
        <v>98</v>
      </c>
    </row>
    <row r="63" spans="1:15" ht="17.25" customHeight="1">
      <c r="A63" s="45" t="s">
        <v>135</v>
      </c>
      <c r="O63" s="45" t="s">
        <v>136</v>
      </c>
    </row>
    <row r="64" spans="1:15" ht="17.25" customHeight="1">
      <c r="B64" s="354" t="s">
        <v>420</v>
      </c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  <c r="N64" s="356"/>
    </row>
    <row r="65" spans="2:14" ht="17.25" customHeight="1">
      <c r="B65" s="310" t="s">
        <v>167</v>
      </c>
      <c r="C65" s="311"/>
      <c r="D65" s="311"/>
      <c r="E65" s="311"/>
      <c r="F65" s="311"/>
      <c r="G65" s="311"/>
      <c r="H65" s="311"/>
      <c r="I65" s="311"/>
      <c r="J65" s="311"/>
      <c r="K65" s="311"/>
      <c r="L65" s="311"/>
      <c r="M65" s="311"/>
      <c r="N65" s="312"/>
    </row>
    <row r="66" spans="2:14" ht="17.25" customHeight="1">
      <c r="B66" s="602" t="s">
        <v>64</v>
      </c>
      <c r="C66" s="602"/>
      <c r="D66" s="602"/>
      <c r="E66" s="313" t="s">
        <v>53</v>
      </c>
      <c r="F66" s="314"/>
      <c r="G66" s="314"/>
      <c r="H66" s="315"/>
      <c r="I66" s="41"/>
      <c r="J66" s="315" t="s">
        <v>54</v>
      </c>
      <c r="K66" s="602"/>
      <c r="L66" s="602"/>
      <c r="M66" s="29" t="s">
        <v>55</v>
      </c>
      <c r="N66" s="141" t="s">
        <v>56</v>
      </c>
    </row>
    <row r="67" spans="2:14" ht="17.25" customHeight="1">
      <c r="B67" s="629" t="s">
        <v>99</v>
      </c>
      <c r="C67" s="629"/>
      <c r="D67" s="629"/>
      <c r="E67" s="325">
        <v>0</v>
      </c>
      <c r="F67" s="326"/>
      <c r="G67" s="326"/>
      <c r="H67" s="327"/>
      <c r="I67" s="328">
        <v>0</v>
      </c>
      <c r="J67" s="329"/>
      <c r="K67" s="329"/>
      <c r="L67" s="330"/>
      <c r="M67" s="630" t="s">
        <v>100</v>
      </c>
      <c r="N67" s="633" t="s">
        <v>100</v>
      </c>
    </row>
    <row r="68" spans="2:14" ht="17.25" customHeight="1">
      <c r="B68" s="629"/>
      <c r="C68" s="629"/>
      <c r="D68" s="629"/>
      <c r="E68" s="36" t="s">
        <v>66</v>
      </c>
      <c r="F68" s="300">
        <v>0</v>
      </c>
      <c r="G68" s="300"/>
      <c r="H68" s="301"/>
      <c r="I68" s="36" t="s">
        <v>66</v>
      </c>
      <c r="J68" s="302" t="s">
        <v>129</v>
      </c>
      <c r="K68" s="302"/>
      <c r="L68" s="303"/>
      <c r="M68" s="631"/>
      <c r="N68" s="633"/>
    </row>
    <row r="69" spans="2:14" ht="17.25" customHeight="1">
      <c r="B69" s="629"/>
      <c r="C69" s="629"/>
      <c r="D69" s="629"/>
      <c r="E69" s="36" t="s">
        <v>69</v>
      </c>
      <c r="F69" s="304">
        <v>0</v>
      </c>
      <c r="G69" s="304"/>
      <c r="H69" s="305"/>
      <c r="I69" s="36" t="s">
        <v>69</v>
      </c>
      <c r="J69" s="302" t="s">
        <v>130</v>
      </c>
      <c r="K69" s="302"/>
      <c r="L69" s="303"/>
      <c r="M69" s="631"/>
      <c r="N69" s="633"/>
    </row>
    <row r="70" spans="2:14" ht="17.25" customHeight="1">
      <c r="B70" s="629"/>
      <c r="C70" s="629"/>
      <c r="D70" s="629"/>
      <c r="E70" s="36" t="s">
        <v>72</v>
      </c>
      <c r="F70" s="306">
        <v>0</v>
      </c>
      <c r="G70" s="306"/>
      <c r="H70" s="307"/>
      <c r="I70" s="36" t="s">
        <v>72</v>
      </c>
      <c r="J70" s="308">
        <v>0</v>
      </c>
      <c r="K70" s="308"/>
      <c r="L70" s="309"/>
      <c r="M70" s="631"/>
      <c r="N70" s="633"/>
    </row>
    <row r="71" spans="2:14" ht="17.25" customHeight="1">
      <c r="B71" s="629"/>
      <c r="C71" s="629"/>
      <c r="D71" s="629"/>
      <c r="E71" s="36" t="s">
        <v>73</v>
      </c>
      <c r="F71" s="337">
        <v>0</v>
      </c>
      <c r="G71" s="337"/>
      <c r="H71" s="338"/>
      <c r="I71" s="36" t="s">
        <v>73</v>
      </c>
      <c r="J71" s="339">
        <v>0</v>
      </c>
      <c r="K71" s="339"/>
      <c r="L71" s="340"/>
      <c r="M71" s="631"/>
      <c r="N71" s="633"/>
    </row>
    <row r="72" spans="2:14" ht="17.25" customHeight="1">
      <c r="B72" s="629"/>
      <c r="C72" s="629"/>
      <c r="D72" s="629"/>
      <c r="E72" s="36" t="s">
        <v>76</v>
      </c>
      <c r="F72" s="285">
        <v>0</v>
      </c>
      <c r="G72" s="285"/>
      <c r="H72" s="286"/>
      <c r="I72" s="287" t="s">
        <v>101</v>
      </c>
      <c r="J72" s="288"/>
      <c r="K72" s="288"/>
      <c r="L72" s="289"/>
      <c r="M72" s="631"/>
      <c r="N72" s="633"/>
    </row>
    <row r="73" spans="2:14" ht="17.25" customHeight="1">
      <c r="B73" s="629"/>
      <c r="C73" s="629"/>
      <c r="D73" s="629"/>
      <c r="E73" s="36" t="s">
        <v>77</v>
      </c>
      <c r="F73" s="296">
        <v>0</v>
      </c>
      <c r="G73" s="296"/>
      <c r="H73" s="297"/>
      <c r="I73" s="290"/>
      <c r="J73" s="291"/>
      <c r="K73" s="291"/>
      <c r="L73" s="292"/>
      <c r="M73" s="631"/>
      <c r="N73" s="633"/>
    </row>
    <row r="74" spans="2:14" ht="17.25" customHeight="1">
      <c r="B74" s="629"/>
      <c r="C74" s="629"/>
      <c r="D74" s="629"/>
      <c r="E74" s="36" t="s">
        <v>78</v>
      </c>
      <c r="F74" s="298">
        <v>0</v>
      </c>
      <c r="G74" s="298"/>
      <c r="H74" s="299"/>
      <c r="I74" s="293"/>
      <c r="J74" s="294"/>
      <c r="K74" s="294"/>
      <c r="L74" s="295"/>
      <c r="M74" s="631"/>
      <c r="N74" s="633"/>
    </row>
    <row r="75" spans="2:14" ht="17.25" customHeight="1">
      <c r="B75" s="628" t="s">
        <v>102</v>
      </c>
      <c r="C75" s="628"/>
      <c r="D75" s="628"/>
      <c r="E75" s="258">
        <v>0</v>
      </c>
      <c r="F75" s="259"/>
      <c r="G75" s="259"/>
      <c r="H75" s="260"/>
      <c r="I75" s="261">
        <v>0</v>
      </c>
      <c r="J75" s="262"/>
      <c r="K75" s="262"/>
      <c r="L75" s="263"/>
      <c r="M75" s="631"/>
      <c r="N75" s="633"/>
    </row>
    <row r="76" spans="2:14" ht="17.25" customHeight="1">
      <c r="B76" s="628"/>
      <c r="C76" s="628"/>
      <c r="D76" s="628"/>
      <c r="E76" s="37" t="s">
        <v>66</v>
      </c>
      <c r="F76" s="264">
        <v>0</v>
      </c>
      <c r="G76" s="264"/>
      <c r="H76" s="265"/>
      <c r="I76" s="37" t="s">
        <v>66</v>
      </c>
      <c r="J76" s="266">
        <v>0</v>
      </c>
      <c r="K76" s="266"/>
      <c r="L76" s="267"/>
      <c r="M76" s="631"/>
      <c r="N76" s="633"/>
    </row>
    <row r="77" spans="2:14" ht="17.25" customHeight="1">
      <c r="B77" s="628"/>
      <c r="C77" s="628"/>
      <c r="D77" s="628"/>
      <c r="E77" s="37" t="s">
        <v>69</v>
      </c>
      <c r="F77" s="268">
        <v>0</v>
      </c>
      <c r="G77" s="268"/>
      <c r="H77" s="269"/>
      <c r="I77" s="270" t="s">
        <v>103</v>
      </c>
      <c r="J77" s="271"/>
      <c r="K77" s="271"/>
      <c r="L77" s="272"/>
      <c r="M77" s="631"/>
      <c r="N77" s="633"/>
    </row>
    <row r="78" spans="2:14" ht="17.25" customHeight="1">
      <c r="B78" s="628"/>
      <c r="C78" s="628"/>
      <c r="D78" s="628"/>
      <c r="E78" s="37" t="s">
        <v>72</v>
      </c>
      <c r="F78" s="279">
        <v>0</v>
      </c>
      <c r="G78" s="279"/>
      <c r="H78" s="280"/>
      <c r="I78" s="273"/>
      <c r="J78" s="274"/>
      <c r="K78" s="274"/>
      <c r="L78" s="275"/>
      <c r="M78" s="631"/>
      <c r="N78" s="633"/>
    </row>
    <row r="79" spans="2:14" ht="17.25" customHeight="1">
      <c r="B79" s="628"/>
      <c r="C79" s="628"/>
      <c r="D79" s="628"/>
      <c r="E79" s="37" t="s">
        <v>73</v>
      </c>
      <c r="F79" s="281">
        <v>0</v>
      </c>
      <c r="G79" s="281"/>
      <c r="H79" s="282"/>
      <c r="I79" s="273"/>
      <c r="J79" s="274"/>
      <c r="K79" s="274"/>
      <c r="L79" s="275"/>
      <c r="M79" s="631"/>
      <c r="N79" s="633"/>
    </row>
    <row r="80" spans="2:14" ht="17.25" customHeight="1">
      <c r="B80" s="628"/>
      <c r="C80" s="628"/>
      <c r="D80" s="628"/>
      <c r="E80" s="37" t="s">
        <v>76</v>
      </c>
      <c r="F80" s="283">
        <v>0</v>
      </c>
      <c r="G80" s="283"/>
      <c r="H80" s="284"/>
      <c r="I80" s="276"/>
      <c r="J80" s="277"/>
      <c r="K80" s="277"/>
      <c r="L80" s="278"/>
      <c r="M80" s="631"/>
      <c r="N80" s="633"/>
    </row>
    <row r="81" spans="1:15" ht="17.25" customHeight="1">
      <c r="B81" s="627" t="s">
        <v>104</v>
      </c>
      <c r="C81" s="627"/>
      <c r="D81" s="627"/>
      <c r="E81" s="222">
        <v>0</v>
      </c>
      <c r="F81" s="223"/>
      <c r="G81" s="223"/>
      <c r="H81" s="224"/>
      <c r="I81" s="225">
        <v>0</v>
      </c>
      <c r="J81" s="226"/>
      <c r="K81" s="226"/>
      <c r="L81" s="227"/>
      <c r="M81" s="631"/>
      <c r="N81" s="633"/>
    </row>
    <row r="82" spans="1:15" ht="17.25" customHeight="1">
      <c r="B82" s="627"/>
      <c r="C82" s="627"/>
      <c r="D82" s="627"/>
      <c r="E82" s="38" t="s">
        <v>66</v>
      </c>
      <c r="F82" s="228">
        <v>0</v>
      </c>
      <c r="G82" s="228"/>
      <c r="H82" s="229"/>
      <c r="I82" s="42" t="s">
        <v>66</v>
      </c>
      <c r="J82" s="230">
        <v>0</v>
      </c>
      <c r="K82" s="230"/>
      <c r="L82" s="231"/>
      <c r="M82" s="631"/>
      <c r="N82" s="633"/>
    </row>
    <row r="83" spans="1:15" ht="17.25" customHeight="1">
      <c r="B83" s="627"/>
      <c r="C83" s="627"/>
      <c r="D83" s="627"/>
      <c r="E83" s="38" t="s">
        <v>69</v>
      </c>
      <c r="F83" s="232">
        <v>0</v>
      </c>
      <c r="G83" s="232"/>
      <c r="H83" s="233"/>
      <c r="I83" s="234" t="s">
        <v>105</v>
      </c>
      <c r="J83" s="235"/>
      <c r="K83" s="235"/>
      <c r="L83" s="236"/>
      <c r="M83" s="631"/>
      <c r="N83" s="633"/>
    </row>
    <row r="84" spans="1:15" ht="17.25" customHeight="1">
      <c r="B84" s="627"/>
      <c r="C84" s="627"/>
      <c r="D84" s="627"/>
      <c r="E84" s="38" t="s">
        <v>72</v>
      </c>
      <c r="F84" s="243">
        <v>0</v>
      </c>
      <c r="G84" s="243"/>
      <c r="H84" s="244"/>
      <c r="I84" s="237"/>
      <c r="J84" s="238"/>
      <c r="K84" s="238"/>
      <c r="L84" s="239"/>
      <c r="M84" s="631"/>
      <c r="N84" s="633"/>
    </row>
    <row r="85" spans="1:15" ht="17.25" customHeight="1">
      <c r="B85" s="627"/>
      <c r="C85" s="627"/>
      <c r="D85" s="627"/>
      <c r="E85" s="38" t="s">
        <v>73</v>
      </c>
      <c r="F85" s="245">
        <v>0</v>
      </c>
      <c r="G85" s="245"/>
      <c r="H85" s="246"/>
      <c r="I85" s="237"/>
      <c r="J85" s="238"/>
      <c r="K85" s="238"/>
      <c r="L85" s="239"/>
      <c r="M85" s="631"/>
      <c r="N85" s="633"/>
    </row>
    <row r="86" spans="1:15" ht="17.25" customHeight="1">
      <c r="B86" s="627"/>
      <c r="C86" s="627"/>
      <c r="D86" s="627"/>
      <c r="E86" s="38" t="s">
        <v>76</v>
      </c>
      <c r="F86" s="247">
        <v>0</v>
      </c>
      <c r="G86" s="247"/>
      <c r="H86" s="248"/>
      <c r="I86" s="240"/>
      <c r="J86" s="241"/>
      <c r="K86" s="241"/>
      <c r="L86" s="242"/>
      <c r="M86" s="631"/>
      <c r="N86" s="633"/>
    </row>
    <row r="87" spans="1:15" ht="17.25" customHeight="1">
      <c r="B87" s="179" t="s">
        <v>155</v>
      </c>
      <c r="C87" s="180"/>
      <c r="D87" s="181"/>
      <c r="E87" s="185">
        <v>0</v>
      </c>
      <c r="F87" s="186"/>
      <c r="G87" s="186"/>
      <c r="H87" s="187"/>
      <c r="I87" s="188">
        <v>0</v>
      </c>
      <c r="J87" s="189"/>
      <c r="K87" s="189"/>
      <c r="L87" s="190"/>
      <c r="M87" s="631"/>
      <c r="N87" s="633"/>
    </row>
    <row r="88" spans="1:15" ht="17.25" customHeight="1">
      <c r="B88" s="182"/>
      <c r="C88" s="183"/>
      <c r="D88" s="184"/>
      <c r="E88" s="202" t="s">
        <v>182</v>
      </c>
      <c r="F88" s="203"/>
      <c r="G88" s="203"/>
      <c r="H88" s="204"/>
      <c r="I88" s="65" t="s">
        <v>66</v>
      </c>
      <c r="J88" s="191">
        <v>0</v>
      </c>
      <c r="K88" s="191"/>
      <c r="L88" s="192"/>
      <c r="M88" s="631"/>
      <c r="N88" s="633"/>
    </row>
    <row r="89" spans="1:15" ht="17.25" customHeight="1">
      <c r="B89" s="193" t="s">
        <v>181</v>
      </c>
      <c r="C89" s="194"/>
      <c r="D89" s="195"/>
      <c r="E89" s="205"/>
      <c r="F89" s="206"/>
      <c r="G89" s="206"/>
      <c r="H89" s="207"/>
      <c r="I89" s="66" t="s">
        <v>69</v>
      </c>
      <c r="J89" s="200" t="s">
        <v>180</v>
      </c>
      <c r="K89" s="200"/>
      <c r="L89" s="201"/>
      <c r="M89" s="631"/>
      <c r="N89" s="633"/>
    </row>
    <row r="90" spans="1:15" ht="17.25" customHeight="1">
      <c r="B90" s="196"/>
      <c r="C90" s="194"/>
      <c r="D90" s="195"/>
      <c r="E90" s="208" t="s">
        <v>183</v>
      </c>
      <c r="F90" s="209"/>
      <c r="G90" s="209"/>
      <c r="H90" s="210"/>
      <c r="I90" s="67"/>
      <c r="J90" s="211" t="s">
        <v>185</v>
      </c>
      <c r="K90" s="211"/>
      <c r="L90" s="212"/>
      <c r="M90" s="631"/>
      <c r="N90" s="633"/>
    </row>
    <row r="91" spans="1:15" ht="17.25" customHeight="1">
      <c r="B91" s="197"/>
      <c r="C91" s="198"/>
      <c r="D91" s="199"/>
      <c r="E91" s="208" t="s">
        <v>184</v>
      </c>
      <c r="F91" s="209"/>
      <c r="G91" s="209"/>
      <c r="H91" s="210"/>
      <c r="I91" s="68"/>
      <c r="J91" s="168" t="s">
        <v>188</v>
      </c>
      <c r="K91" s="168"/>
      <c r="L91" s="169"/>
      <c r="M91" s="632"/>
      <c r="N91" s="633"/>
    </row>
    <row r="92" spans="1:15" ht="17.25" customHeight="1">
      <c r="B92" s="625" t="s">
        <v>106</v>
      </c>
      <c r="C92" s="625"/>
      <c r="D92" s="625"/>
      <c r="E92" s="173">
        <v>0</v>
      </c>
      <c r="F92" s="174"/>
      <c r="G92" s="174"/>
      <c r="H92" s="175"/>
      <c r="I92" s="176">
        <v>0</v>
      </c>
      <c r="J92" s="177"/>
      <c r="K92" s="177"/>
      <c r="L92" s="178"/>
      <c r="M92" s="31" t="s">
        <v>97</v>
      </c>
      <c r="N92" s="31" t="s">
        <v>98</v>
      </c>
    </row>
    <row r="93" spans="1:15" ht="17.25" customHeight="1">
      <c r="A93" s="45" t="s">
        <v>135</v>
      </c>
      <c r="O93" s="45" t="s">
        <v>136</v>
      </c>
    </row>
    <row r="94" spans="1:15" ht="17.25" customHeight="1">
      <c r="B94" s="626" t="s">
        <v>107</v>
      </c>
      <c r="C94" s="626"/>
      <c r="D94" s="626"/>
      <c r="E94" s="626"/>
      <c r="F94" s="626"/>
      <c r="G94" s="626"/>
      <c r="H94" s="626"/>
      <c r="I94" s="626"/>
      <c r="J94" s="626"/>
      <c r="K94" s="626"/>
      <c r="L94" s="626"/>
      <c r="M94" s="626"/>
      <c r="N94" s="626"/>
    </row>
    <row r="95" spans="1:15" ht="17.25" customHeight="1">
      <c r="B95" s="623" t="s">
        <v>108</v>
      </c>
      <c r="C95" s="623"/>
      <c r="D95" s="623"/>
      <c r="E95" s="624" t="s">
        <v>62</v>
      </c>
      <c r="F95" s="624"/>
      <c r="G95" s="624"/>
      <c r="H95" s="624"/>
      <c r="I95" s="624"/>
      <c r="J95" s="624"/>
      <c r="K95" s="624"/>
      <c r="L95" s="624"/>
      <c r="M95" s="624"/>
      <c r="N95" s="624"/>
    </row>
    <row r="96" spans="1:15" ht="17.25" customHeight="1">
      <c r="B96" s="623" t="s">
        <v>109</v>
      </c>
      <c r="C96" s="623"/>
      <c r="D96" s="623"/>
      <c r="E96" s="624" t="s">
        <v>110</v>
      </c>
      <c r="F96" s="624"/>
      <c r="G96" s="624"/>
      <c r="H96" s="624"/>
      <c r="I96" s="624"/>
      <c r="J96" s="624"/>
      <c r="K96" s="624"/>
      <c r="L96" s="624"/>
      <c r="M96" s="624"/>
      <c r="N96" s="624"/>
    </row>
    <row r="97" spans="1:15" ht="17.25" customHeight="1">
      <c r="B97" s="623" t="s">
        <v>111</v>
      </c>
      <c r="C97" s="623"/>
      <c r="D97" s="623"/>
      <c r="E97" s="624" t="s">
        <v>112</v>
      </c>
      <c r="F97" s="624"/>
      <c r="G97" s="624"/>
      <c r="H97" s="624"/>
      <c r="I97" s="624"/>
      <c r="J97" s="624"/>
      <c r="K97" s="624"/>
      <c r="L97" s="624"/>
      <c r="M97" s="624"/>
      <c r="N97" s="624"/>
    </row>
    <row r="98" spans="1:15" ht="17.25" customHeight="1">
      <c r="B98" s="623" t="s">
        <v>113</v>
      </c>
      <c r="C98" s="623"/>
      <c r="D98" s="623"/>
      <c r="E98" s="624" t="s">
        <v>158</v>
      </c>
      <c r="F98" s="624"/>
      <c r="G98" s="624"/>
      <c r="H98" s="624"/>
      <c r="I98" s="624"/>
      <c r="J98" s="624"/>
      <c r="K98" s="624"/>
      <c r="L98" s="624"/>
      <c r="M98" s="624"/>
      <c r="N98" s="624"/>
    </row>
    <row r="99" spans="1:15" ht="17.25" customHeight="1">
      <c r="A99" s="45" t="s">
        <v>135</v>
      </c>
      <c r="O99" s="45" t="s">
        <v>136</v>
      </c>
    </row>
    <row r="100" spans="1:15" ht="17.25" customHeight="1">
      <c r="B100" s="598" t="s">
        <v>114</v>
      </c>
      <c r="C100" s="598"/>
      <c r="D100" s="598"/>
      <c r="E100" s="598"/>
      <c r="F100" s="598"/>
      <c r="G100" s="598"/>
      <c r="H100" s="598"/>
      <c r="I100" s="598"/>
      <c r="J100" s="598"/>
      <c r="K100" s="598"/>
      <c r="L100" s="598"/>
      <c r="M100" s="598"/>
      <c r="N100" s="598"/>
    </row>
    <row r="101" spans="1:15" ht="17.25" customHeight="1">
      <c r="B101" s="620" t="s">
        <v>115</v>
      </c>
      <c r="C101" s="620"/>
      <c r="D101" s="620"/>
      <c r="E101" s="163" t="s">
        <v>128</v>
      </c>
      <c r="F101" s="164"/>
      <c r="G101" s="164"/>
      <c r="H101" s="164"/>
      <c r="I101" s="164"/>
      <c r="J101" s="164"/>
      <c r="K101" s="164"/>
      <c r="L101" s="164"/>
      <c r="M101" s="164"/>
      <c r="N101" s="164"/>
    </row>
    <row r="102" spans="1:15" ht="17.25" customHeight="1">
      <c r="B102" s="142" t="s">
        <v>116</v>
      </c>
      <c r="C102" s="143"/>
      <c r="D102" s="144"/>
      <c r="E102" s="165" t="s">
        <v>117</v>
      </c>
      <c r="F102" s="166"/>
      <c r="G102" s="166"/>
      <c r="H102" s="166"/>
      <c r="I102" s="166"/>
      <c r="J102" s="166"/>
      <c r="K102" s="166"/>
      <c r="L102" s="166"/>
      <c r="M102" s="166"/>
      <c r="N102" s="167"/>
    </row>
    <row r="103" spans="1:15" ht="17.25" customHeight="1">
      <c r="B103" s="620" t="s">
        <v>118</v>
      </c>
      <c r="C103" s="620"/>
      <c r="D103" s="620"/>
      <c r="E103" s="621" t="s">
        <v>119</v>
      </c>
      <c r="F103" s="622"/>
      <c r="G103" s="622"/>
      <c r="H103" s="622"/>
      <c r="I103" s="622"/>
      <c r="J103" s="622"/>
      <c r="K103" s="622"/>
      <c r="L103" s="622"/>
      <c r="M103" s="622"/>
      <c r="N103" s="622"/>
    </row>
    <row r="104" spans="1:15" ht="17.25" customHeight="1">
      <c r="B104" s="619" t="s">
        <v>120</v>
      </c>
      <c r="C104" s="619"/>
      <c r="D104" s="619"/>
      <c r="E104" s="145" t="s">
        <v>159</v>
      </c>
      <c r="F104" s="146"/>
      <c r="G104" s="146"/>
      <c r="H104" s="146"/>
      <c r="I104" s="146"/>
      <c r="J104" s="146"/>
      <c r="K104" s="146"/>
      <c r="L104" s="146"/>
      <c r="M104" s="146"/>
      <c r="N104" s="147"/>
    </row>
  </sheetData>
  <mergeCells count="200">
    <mergeCell ref="B4:N4"/>
    <mergeCell ref="C5:N5"/>
    <mergeCell ref="C6:N6"/>
    <mergeCell ref="C7:N7"/>
    <mergeCell ref="D8:N8"/>
    <mergeCell ref="C9:N9"/>
    <mergeCell ref="E15:F15"/>
    <mergeCell ref="C19:C20"/>
    <mergeCell ref="E19:F19"/>
    <mergeCell ref="G19:N20"/>
    <mergeCell ref="E20:F20"/>
    <mergeCell ref="G15:N15"/>
    <mergeCell ref="E16:F16"/>
    <mergeCell ref="G16:N16"/>
    <mergeCell ref="C10:N10"/>
    <mergeCell ref="C11:N11"/>
    <mergeCell ref="C12:N12"/>
    <mergeCell ref="C13:C16"/>
    <mergeCell ref="E13:F13"/>
    <mergeCell ref="G13:N13"/>
    <mergeCell ref="E14:F14"/>
    <mergeCell ref="B27:N27"/>
    <mergeCell ref="I22:J22"/>
    <mergeCell ref="M22:M23"/>
    <mergeCell ref="N22:N23"/>
    <mergeCell ref="C23:D23"/>
    <mergeCell ref="E23:F23"/>
    <mergeCell ref="I23:J23"/>
    <mergeCell ref="B13:B20"/>
    <mergeCell ref="C17:C18"/>
    <mergeCell ref="E17:F17"/>
    <mergeCell ref="G17:N18"/>
    <mergeCell ref="E18:F18"/>
    <mergeCell ref="B24:B25"/>
    <mergeCell ref="C24:D24"/>
    <mergeCell ref="E24:N24"/>
    <mergeCell ref="C25:D25"/>
    <mergeCell ref="E25:N25"/>
    <mergeCell ref="B21:B23"/>
    <mergeCell ref="C21:D21"/>
    <mergeCell ref="E21:H21"/>
    <mergeCell ref="I21:L21"/>
    <mergeCell ref="C22:D22"/>
    <mergeCell ref="E22:F22"/>
    <mergeCell ref="G14:N14"/>
    <mergeCell ref="B28:N28"/>
    <mergeCell ref="B29:D29"/>
    <mergeCell ref="E29:H29"/>
    <mergeCell ref="I29:L29"/>
    <mergeCell ref="B30:D37"/>
    <mergeCell ref="E30:H30"/>
    <mergeCell ref="I30:L30"/>
    <mergeCell ref="F31:H31"/>
    <mergeCell ref="J31:L31"/>
    <mergeCell ref="F32:H32"/>
    <mergeCell ref="B38:D43"/>
    <mergeCell ref="E38:H38"/>
    <mergeCell ref="I38:L38"/>
    <mergeCell ref="J32:L32"/>
    <mergeCell ref="M32:M33"/>
    <mergeCell ref="N32:N33"/>
    <mergeCell ref="F33:H33"/>
    <mergeCell ref="J33:L33"/>
    <mergeCell ref="F34:H34"/>
    <mergeCell ref="J34:L34"/>
    <mergeCell ref="I35:L37"/>
    <mergeCell ref="F36:H36"/>
    <mergeCell ref="F37:H37"/>
    <mergeCell ref="M34:M36"/>
    <mergeCell ref="N34:N36"/>
    <mergeCell ref="F35:H35"/>
    <mergeCell ref="M38:M40"/>
    <mergeCell ref="N38:N40"/>
    <mergeCell ref="F39:H39"/>
    <mergeCell ref="J39:L39"/>
    <mergeCell ref="F40:H40"/>
    <mergeCell ref="I40:L43"/>
    <mergeCell ref="F41:H41"/>
    <mergeCell ref="F42:H42"/>
    <mergeCell ref="M42:M44"/>
    <mergeCell ref="F43:H43"/>
    <mergeCell ref="M47:M49"/>
    <mergeCell ref="N47:N49"/>
    <mergeCell ref="F48:H48"/>
    <mergeCell ref="F49:H49"/>
    <mergeCell ref="B50:D52"/>
    <mergeCell ref="E50:H50"/>
    <mergeCell ref="I50:L50"/>
    <mergeCell ref="M50:M51"/>
    <mergeCell ref="N50:N51"/>
    <mergeCell ref="F51:H51"/>
    <mergeCell ref="J51:L51"/>
    <mergeCell ref="F52:H52"/>
    <mergeCell ref="J52:L52"/>
    <mergeCell ref="E60:H60"/>
    <mergeCell ref="J60:L60"/>
    <mergeCell ref="B44:D49"/>
    <mergeCell ref="E44:H44"/>
    <mergeCell ref="I44:L44"/>
    <mergeCell ref="F45:H45"/>
    <mergeCell ref="J45:L45"/>
    <mergeCell ref="F46:H46"/>
    <mergeCell ref="I46:L49"/>
    <mergeCell ref="F47:H47"/>
    <mergeCell ref="F54:H54"/>
    <mergeCell ref="F55:H55"/>
    <mergeCell ref="E61:H61"/>
    <mergeCell ref="J61:L61"/>
    <mergeCell ref="B53:D56"/>
    <mergeCell ref="F53:H53"/>
    <mergeCell ref="M53:M54"/>
    <mergeCell ref="B64:N64"/>
    <mergeCell ref="B62:D62"/>
    <mergeCell ref="E62:H62"/>
    <mergeCell ref="I62:L62"/>
    <mergeCell ref="B57:D58"/>
    <mergeCell ref="E57:H57"/>
    <mergeCell ref="I57:L57"/>
    <mergeCell ref="J58:L58"/>
    <mergeCell ref="B59:D61"/>
    <mergeCell ref="J59:L59"/>
    <mergeCell ref="E58:H59"/>
    <mergeCell ref="M55:M56"/>
    <mergeCell ref="F56:H56"/>
    <mergeCell ref="I53:L56"/>
    <mergeCell ref="M59:M60"/>
    <mergeCell ref="N53:N54"/>
    <mergeCell ref="F68:H68"/>
    <mergeCell ref="J68:L68"/>
    <mergeCell ref="F69:H69"/>
    <mergeCell ref="J69:L69"/>
    <mergeCell ref="F70:H70"/>
    <mergeCell ref="B65:N65"/>
    <mergeCell ref="B66:D66"/>
    <mergeCell ref="E66:H66"/>
    <mergeCell ref="J66:L66"/>
    <mergeCell ref="B67:D74"/>
    <mergeCell ref="E67:H67"/>
    <mergeCell ref="I67:L67"/>
    <mergeCell ref="M67:M91"/>
    <mergeCell ref="N67:N91"/>
    <mergeCell ref="F71:H71"/>
    <mergeCell ref="J70:L70"/>
    <mergeCell ref="B75:D80"/>
    <mergeCell ref="E75:H75"/>
    <mergeCell ref="I75:L75"/>
    <mergeCell ref="F76:H76"/>
    <mergeCell ref="J76:L76"/>
    <mergeCell ref="F77:H77"/>
    <mergeCell ref="I77:L80"/>
    <mergeCell ref="F78:H78"/>
    <mergeCell ref="F79:H79"/>
    <mergeCell ref="J71:L71"/>
    <mergeCell ref="F72:H72"/>
    <mergeCell ref="I72:L74"/>
    <mergeCell ref="F73:H73"/>
    <mergeCell ref="F74:H74"/>
    <mergeCell ref="F80:H80"/>
    <mergeCell ref="B81:D86"/>
    <mergeCell ref="E81:H81"/>
    <mergeCell ref="I81:L81"/>
    <mergeCell ref="F82:H82"/>
    <mergeCell ref="J82:L82"/>
    <mergeCell ref="F83:H83"/>
    <mergeCell ref="I83:L86"/>
    <mergeCell ref="F84:H84"/>
    <mergeCell ref="F85:H85"/>
    <mergeCell ref="F86:H86"/>
    <mergeCell ref="B87:D88"/>
    <mergeCell ref="E87:H87"/>
    <mergeCell ref="I87:L87"/>
    <mergeCell ref="J88:L88"/>
    <mergeCell ref="B89:D91"/>
    <mergeCell ref="J89:L89"/>
    <mergeCell ref="E88:H89"/>
    <mergeCell ref="E90:H90"/>
    <mergeCell ref="J90:L90"/>
    <mergeCell ref="B98:D98"/>
    <mergeCell ref="E98:N98"/>
    <mergeCell ref="B92:D92"/>
    <mergeCell ref="E92:H92"/>
    <mergeCell ref="I92:L92"/>
    <mergeCell ref="B94:N94"/>
    <mergeCell ref="B95:D95"/>
    <mergeCell ref="E95:N95"/>
    <mergeCell ref="E91:H91"/>
    <mergeCell ref="J91:L91"/>
    <mergeCell ref="B96:D96"/>
    <mergeCell ref="E96:N96"/>
    <mergeCell ref="B97:D97"/>
    <mergeCell ref="E97:N97"/>
    <mergeCell ref="B104:D104"/>
    <mergeCell ref="E104:N104"/>
    <mergeCell ref="B100:N100"/>
    <mergeCell ref="B101:D101"/>
    <mergeCell ref="E101:N101"/>
    <mergeCell ref="B102:D102"/>
    <mergeCell ref="E102:N102"/>
    <mergeCell ref="B103:D103"/>
    <mergeCell ref="E103:N10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71E3-F088-CE46-880D-471E2D2FAACF}">
  <dimension ref="A1:Q105"/>
  <sheetViews>
    <sheetView topLeftCell="B30" zoomScale="169" workbookViewId="0">
      <selection activeCell="F43" sqref="F43:H43"/>
    </sheetView>
  </sheetViews>
  <sheetFormatPr baseColWidth="10" defaultColWidth="27.6640625" defaultRowHeight="17.25" customHeight="1"/>
  <cols>
    <col min="1" max="1" width="3" style="45" customWidth="1"/>
    <col min="2" max="2" width="9.5" style="8" customWidth="1"/>
    <col min="3" max="3" width="8" style="8" customWidth="1"/>
    <col min="4" max="4" width="18.5" style="8" customWidth="1"/>
    <col min="5" max="5" width="2" style="39" customWidth="1"/>
    <col min="6" max="6" width="7.6640625" style="8" customWidth="1"/>
    <col min="7" max="7" width="14.6640625" style="8" customWidth="1"/>
    <col min="8" max="8" width="10.6640625" style="8" customWidth="1"/>
    <col min="9" max="9" width="2" style="39" customWidth="1"/>
    <col min="10" max="10" width="7.6640625" style="8" customWidth="1"/>
    <col min="11" max="11" width="14.6640625" style="8" customWidth="1"/>
    <col min="12" max="12" width="10.6640625" style="8" customWidth="1"/>
    <col min="13" max="14" width="33.83203125" style="8" customWidth="1"/>
    <col min="15" max="15" width="3" style="89" customWidth="1"/>
    <col min="16" max="20" width="9.33203125" style="8" customWidth="1"/>
    <col min="21" max="16384" width="27.6640625" style="8"/>
  </cols>
  <sheetData>
    <row r="1" spans="1:15" ht="17.25" customHeight="1">
      <c r="A1" s="61" t="s">
        <v>166</v>
      </c>
    </row>
    <row r="2" spans="1:15" ht="17.25" customHeight="1">
      <c r="A2" s="61" t="s">
        <v>165</v>
      </c>
    </row>
    <row r="4" spans="1:15" ht="17.25" customHeight="1">
      <c r="B4" s="587" t="s">
        <v>402</v>
      </c>
      <c r="C4" s="588"/>
      <c r="D4" s="588"/>
      <c r="E4" s="588"/>
      <c r="F4" s="588"/>
      <c r="G4" s="588"/>
      <c r="H4" s="588"/>
      <c r="I4" s="588"/>
      <c r="J4" s="588"/>
      <c r="K4" s="588"/>
      <c r="L4" s="588"/>
      <c r="M4" s="588"/>
      <c r="N4" s="589"/>
      <c r="O4" s="90"/>
    </row>
    <row r="5" spans="1:15" ht="17.25" customHeight="1">
      <c r="B5" s="9" t="s">
        <v>29</v>
      </c>
      <c r="C5" s="684" t="s">
        <v>403</v>
      </c>
      <c r="D5" s="685"/>
      <c r="E5" s="685"/>
      <c r="F5" s="685"/>
      <c r="G5" s="685"/>
      <c r="H5" s="685"/>
      <c r="I5" s="685"/>
      <c r="J5" s="685"/>
      <c r="K5" s="685"/>
      <c r="L5" s="685"/>
      <c r="M5" s="685"/>
      <c r="N5" s="686"/>
      <c r="O5" s="91"/>
    </row>
    <row r="6" spans="1:15" ht="17.25" customHeight="1">
      <c r="A6" s="45" t="s">
        <v>135</v>
      </c>
      <c r="B6" s="9" t="s">
        <v>404</v>
      </c>
      <c r="C6" s="687">
        <v>1.68</v>
      </c>
      <c r="D6" s="688"/>
      <c r="E6" s="688"/>
      <c r="F6" s="688"/>
      <c r="G6" s="688"/>
      <c r="H6" s="688"/>
      <c r="I6" s="688"/>
      <c r="J6" s="688"/>
      <c r="K6" s="688"/>
      <c r="L6" s="688"/>
      <c r="M6" s="688"/>
      <c r="N6" s="689"/>
      <c r="O6" s="48" t="s">
        <v>136</v>
      </c>
    </row>
    <row r="7" spans="1:15" ht="17.25" customHeight="1">
      <c r="A7" s="45" t="s">
        <v>135</v>
      </c>
      <c r="B7" s="9" t="s">
        <v>405</v>
      </c>
      <c r="C7" s="690">
        <v>66</v>
      </c>
      <c r="D7" s="691"/>
      <c r="E7" s="691"/>
      <c r="F7" s="691"/>
      <c r="G7" s="691"/>
      <c r="H7" s="691"/>
      <c r="I7" s="691"/>
      <c r="J7" s="691"/>
      <c r="K7" s="691"/>
      <c r="L7" s="691"/>
      <c r="M7" s="691"/>
      <c r="N7" s="692"/>
      <c r="O7" s="49" t="s">
        <v>136</v>
      </c>
    </row>
    <row r="8" spans="1:15" ht="17.25" customHeight="1">
      <c r="B8" s="9" t="s">
        <v>32</v>
      </c>
      <c r="C8" s="10">
        <f>C7/C6/C6</f>
        <v>23.3843537414966</v>
      </c>
      <c r="D8" s="593" t="s">
        <v>33</v>
      </c>
      <c r="E8" s="593"/>
      <c r="F8" s="593"/>
      <c r="G8" s="593"/>
      <c r="H8" s="593"/>
      <c r="I8" s="593"/>
      <c r="J8" s="593"/>
      <c r="K8" s="593"/>
      <c r="L8" s="593"/>
      <c r="M8" s="593"/>
      <c r="N8" s="594"/>
      <c r="O8" s="92"/>
    </row>
    <row r="9" spans="1:15" ht="17.25" customHeight="1">
      <c r="B9" s="9" t="s">
        <v>34</v>
      </c>
      <c r="C9" s="595" t="s">
        <v>122</v>
      </c>
      <c r="D9" s="596"/>
      <c r="E9" s="596"/>
      <c r="F9" s="596"/>
      <c r="G9" s="596"/>
      <c r="H9" s="596"/>
      <c r="I9" s="596"/>
      <c r="J9" s="596"/>
      <c r="K9" s="596"/>
      <c r="L9" s="596"/>
      <c r="M9" s="596"/>
      <c r="N9" s="597"/>
      <c r="O9" s="93"/>
    </row>
    <row r="10" spans="1:15" ht="17.25" customHeight="1">
      <c r="B10" s="9" t="s">
        <v>35</v>
      </c>
      <c r="C10" s="573" t="s">
        <v>123</v>
      </c>
      <c r="D10" s="574"/>
      <c r="E10" s="574"/>
      <c r="F10" s="574"/>
      <c r="G10" s="574"/>
      <c r="H10" s="574"/>
      <c r="I10" s="574"/>
      <c r="J10" s="574"/>
      <c r="K10" s="574"/>
      <c r="L10" s="574"/>
      <c r="M10" s="574"/>
      <c r="N10" s="575"/>
      <c r="O10" s="94"/>
    </row>
    <row r="11" spans="1:15" ht="17.25" customHeight="1">
      <c r="B11" s="11" t="s">
        <v>36</v>
      </c>
      <c r="C11" s="573" t="s">
        <v>406</v>
      </c>
      <c r="D11" s="574"/>
      <c r="E11" s="574"/>
      <c r="F11" s="574"/>
      <c r="G11" s="574"/>
      <c r="H11" s="574"/>
      <c r="I11" s="574"/>
      <c r="J11" s="574"/>
      <c r="K11" s="574"/>
      <c r="L11" s="574"/>
      <c r="M11" s="574"/>
      <c r="N11" s="575"/>
      <c r="O11" s="94"/>
    </row>
    <row r="12" spans="1:15" ht="17.25" customHeight="1">
      <c r="B12" s="11" t="s">
        <v>37</v>
      </c>
      <c r="C12" s="576" t="s">
        <v>407</v>
      </c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578"/>
      <c r="O12" s="95"/>
    </row>
    <row r="13" spans="1:15" ht="17.25" customHeight="1">
      <c r="B13" s="559" t="s">
        <v>160</v>
      </c>
      <c r="C13" s="579" t="s">
        <v>39</v>
      </c>
      <c r="D13" s="12" t="s">
        <v>40</v>
      </c>
      <c r="E13" s="677">
        <f>66*9.99+168*6.25-28*4.92-161</f>
        <v>1410.5800000000002</v>
      </c>
      <c r="F13" s="678"/>
      <c r="G13" s="693" t="s">
        <v>151</v>
      </c>
      <c r="H13" s="694"/>
      <c r="I13" s="694"/>
      <c r="J13" s="694"/>
      <c r="K13" s="694"/>
      <c r="L13" s="694"/>
      <c r="M13" s="694"/>
      <c r="N13" s="695"/>
      <c r="O13" s="96"/>
    </row>
    <row r="14" spans="1:15" ht="17.25" customHeight="1">
      <c r="B14" s="568"/>
      <c r="C14" s="580"/>
      <c r="D14" s="13" t="s">
        <v>41</v>
      </c>
      <c r="E14" s="677">
        <f>E13/0.7</f>
        <v>2015.1142857142861</v>
      </c>
      <c r="F14" s="678"/>
      <c r="G14" s="680" t="s">
        <v>42</v>
      </c>
      <c r="H14" s="681"/>
      <c r="I14" s="681"/>
      <c r="J14" s="681"/>
      <c r="K14" s="681"/>
      <c r="L14" s="681"/>
      <c r="M14" s="681"/>
      <c r="N14" s="682"/>
      <c r="O14" s="96"/>
    </row>
    <row r="15" spans="1:15" ht="17.25" customHeight="1">
      <c r="B15" s="568"/>
      <c r="C15" s="580"/>
      <c r="D15" s="13" t="s">
        <v>43</v>
      </c>
      <c r="E15" s="677">
        <v>200</v>
      </c>
      <c r="F15" s="678"/>
      <c r="G15" s="584" t="s">
        <v>170</v>
      </c>
      <c r="H15" s="585"/>
      <c r="I15" s="585"/>
      <c r="J15" s="585"/>
      <c r="K15" s="585"/>
      <c r="L15" s="585"/>
      <c r="M15" s="585"/>
      <c r="N15" s="586"/>
      <c r="O15" s="96"/>
    </row>
    <row r="16" spans="1:15" ht="17.25" customHeight="1">
      <c r="B16" s="568"/>
      <c r="C16" s="581"/>
      <c r="D16" s="13" t="s">
        <v>44</v>
      </c>
      <c r="E16" s="677">
        <v>100</v>
      </c>
      <c r="F16" s="678"/>
      <c r="G16" s="584" t="s">
        <v>200</v>
      </c>
      <c r="H16" s="585"/>
      <c r="I16" s="585"/>
      <c r="J16" s="585"/>
      <c r="K16" s="585"/>
      <c r="L16" s="585"/>
      <c r="M16" s="585"/>
      <c r="N16" s="586"/>
      <c r="O16" s="96"/>
    </row>
    <row r="17" spans="1:15" ht="17.25" customHeight="1">
      <c r="B17" s="568"/>
      <c r="C17" s="579" t="s">
        <v>45</v>
      </c>
      <c r="D17" s="13" t="s">
        <v>46</v>
      </c>
      <c r="E17" s="677">
        <f>E14+E15+E16</f>
        <v>2315.1142857142859</v>
      </c>
      <c r="F17" s="678"/>
      <c r="G17" s="561" t="s">
        <v>47</v>
      </c>
      <c r="H17" s="562"/>
      <c r="I17" s="562"/>
      <c r="J17" s="562"/>
      <c r="K17" s="562"/>
      <c r="L17" s="562"/>
      <c r="M17" s="562"/>
      <c r="N17" s="563"/>
      <c r="O17" s="96"/>
    </row>
    <row r="18" spans="1:15" ht="17.25" customHeight="1">
      <c r="B18" s="568"/>
      <c r="C18" s="581"/>
      <c r="D18" s="13" t="s">
        <v>48</v>
      </c>
      <c r="E18" s="677">
        <f>E14+E16</f>
        <v>2115.1142857142859</v>
      </c>
      <c r="F18" s="678"/>
      <c r="G18" s="564"/>
      <c r="H18" s="565"/>
      <c r="I18" s="565"/>
      <c r="J18" s="565"/>
      <c r="K18" s="565"/>
      <c r="L18" s="565"/>
      <c r="M18" s="565"/>
      <c r="N18" s="566"/>
      <c r="O18" s="96"/>
    </row>
    <row r="19" spans="1:15" ht="17.25" customHeight="1">
      <c r="B19" s="568"/>
      <c r="C19" s="579" t="s">
        <v>49</v>
      </c>
      <c r="D19" s="13" t="s">
        <v>50</v>
      </c>
      <c r="E19" s="677">
        <f>E17*0.64</f>
        <v>1481.6731428571429</v>
      </c>
      <c r="F19" s="678"/>
      <c r="G19" s="561" t="s">
        <v>201</v>
      </c>
      <c r="H19" s="562"/>
      <c r="I19" s="562"/>
      <c r="J19" s="562"/>
      <c r="K19" s="562"/>
      <c r="L19" s="562"/>
      <c r="M19" s="562"/>
      <c r="N19" s="563"/>
      <c r="O19" s="96"/>
    </row>
    <row r="20" spans="1:15" ht="17.25" customHeight="1">
      <c r="B20" s="560"/>
      <c r="C20" s="581"/>
      <c r="D20" s="13" t="s">
        <v>51</v>
      </c>
      <c r="E20" s="677">
        <f>E18*0.64</f>
        <v>1353.6731428571429</v>
      </c>
      <c r="F20" s="678"/>
      <c r="G20" s="564"/>
      <c r="H20" s="565"/>
      <c r="I20" s="565"/>
      <c r="J20" s="565"/>
      <c r="K20" s="565"/>
      <c r="L20" s="565"/>
      <c r="M20" s="565"/>
      <c r="N20" s="566"/>
      <c r="O20" s="96"/>
    </row>
    <row r="21" spans="1:15" ht="17.25" customHeight="1">
      <c r="B21" s="559" t="s">
        <v>52</v>
      </c>
      <c r="C21" s="569"/>
      <c r="D21" s="570"/>
      <c r="E21" s="552" t="s">
        <v>408</v>
      </c>
      <c r="F21" s="696"/>
      <c r="G21" s="696"/>
      <c r="H21" s="553"/>
      <c r="I21" s="552" t="s">
        <v>409</v>
      </c>
      <c r="J21" s="696"/>
      <c r="K21" s="696"/>
      <c r="L21" s="553"/>
      <c r="M21" s="14" t="s">
        <v>55</v>
      </c>
      <c r="N21" s="14" t="s">
        <v>56</v>
      </c>
      <c r="O21" s="97"/>
    </row>
    <row r="22" spans="1:15" ht="17.25" customHeight="1">
      <c r="B22" s="568"/>
      <c r="C22" s="552" t="s">
        <v>57</v>
      </c>
      <c r="D22" s="553"/>
      <c r="E22" s="697">
        <v>2.4</v>
      </c>
      <c r="F22" s="698"/>
      <c r="G22" s="15">
        <v>66</v>
      </c>
      <c r="H22" s="16">
        <f>E22*G22</f>
        <v>158.4</v>
      </c>
      <c r="I22" s="697">
        <v>1.3</v>
      </c>
      <c r="J22" s="698"/>
      <c r="K22" s="15">
        <v>66</v>
      </c>
      <c r="L22" s="16">
        <f>I22*K22</f>
        <v>85.8</v>
      </c>
      <c r="M22" s="675" t="s">
        <v>410</v>
      </c>
      <c r="N22" s="675" t="s">
        <v>58</v>
      </c>
      <c r="O22" s="98"/>
    </row>
    <row r="23" spans="1:15" ht="17.25" customHeight="1">
      <c r="B23" s="560"/>
      <c r="C23" s="552" t="s">
        <v>59</v>
      </c>
      <c r="D23" s="553"/>
      <c r="E23" s="697">
        <v>2</v>
      </c>
      <c r="F23" s="698"/>
      <c r="G23" s="15">
        <v>66</v>
      </c>
      <c r="H23" s="16">
        <f>E23*G23</f>
        <v>132</v>
      </c>
      <c r="I23" s="697">
        <v>1.3</v>
      </c>
      <c r="J23" s="698"/>
      <c r="K23" s="15">
        <v>66</v>
      </c>
      <c r="L23" s="16">
        <f>I23*K23</f>
        <v>85.8</v>
      </c>
      <c r="M23" s="676"/>
      <c r="N23" s="676"/>
      <c r="O23" s="98"/>
    </row>
    <row r="24" spans="1:15" ht="17.25" customHeight="1">
      <c r="B24" s="559" t="s">
        <v>60</v>
      </c>
      <c r="C24" s="552" t="s">
        <v>61</v>
      </c>
      <c r="D24" s="553"/>
      <c r="E24" s="584" t="s">
        <v>62</v>
      </c>
      <c r="F24" s="585"/>
      <c r="G24" s="585"/>
      <c r="H24" s="585"/>
      <c r="I24" s="585"/>
      <c r="J24" s="585"/>
      <c r="K24" s="585"/>
      <c r="L24" s="585"/>
      <c r="M24" s="585"/>
      <c r="N24" s="586"/>
      <c r="O24" s="99"/>
    </row>
    <row r="25" spans="1:15" ht="17.25" customHeight="1">
      <c r="B25" s="560"/>
      <c r="C25" s="552" t="s">
        <v>63</v>
      </c>
      <c r="D25" s="553"/>
      <c r="E25" s="584" t="s">
        <v>128</v>
      </c>
      <c r="F25" s="585"/>
      <c r="G25" s="585"/>
      <c r="H25" s="585"/>
      <c r="I25" s="585"/>
      <c r="J25" s="585"/>
      <c r="K25" s="585"/>
      <c r="L25" s="585"/>
      <c r="M25" s="585"/>
      <c r="N25" s="586"/>
      <c r="O25" s="99"/>
    </row>
    <row r="26" spans="1:15" ht="17.25" customHeight="1">
      <c r="A26" s="45" t="s">
        <v>135</v>
      </c>
      <c r="O26" s="45" t="s">
        <v>136</v>
      </c>
    </row>
    <row r="27" spans="1:15" ht="17.25" customHeight="1">
      <c r="B27" s="148" t="s">
        <v>411</v>
      </c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50"/>
      <c r="O27" s="100"/>
    </row>
    <row r="28" spans="1:15" ht="17.25" customHeight="1">
      <c r="B28" s="556" t="s">
        <v>167</v>
      </c>
      <c r="C28" s="557"/>
      <c r="D28" s="557"/>
      <c r="E28" s="557"/>
      <c r="F28" s="557"/>
      <c r="G28" s="557"/>
      <c r="H28" s="557"/>
      <c r="I28" s="557"/>
      <c r="J28" s="557"/>
      <c r="K28" s="557"/>
      <c r="L28" s="557"/>
      <c r="M28" s="557"/>
      <c r="N28" s="558"/>
      <c r="O28" s="101"/>
    </row>
    <row r="29" spans="1:15" ht="17.25" customHeight="1">
      <c r="B29" s="520" t="s">
        <v>64</v>
      </c>
      <c r="C29" s="521"/>
      <c r="D29" s="522"/>
      <c r="E29" s="520" t="s">
        <v>412</v>
      </c>
      <c r="F29" s="521"/>
      <c r="G29" s="521"/>
      <c r="H29" s="522"/>
      <c r="I29" s="520" t="s">
        <v>413</v>
      </c>
      <c r="J29" s="521"/>
      <c r="K29" s="521"/>
      <c r="L29" s="522"/>
      <c r="M29" s="17" t="s">
        <v>55</v>
      </c>
      <c r="N29" s="17" t="s">
        <v>56</v>
      </c>
      <c r="O29" s="102"/>
    </row>
    <row r="30" spans="1:15" ht="17.25" customHeight="1">
      <c r="B30" s="701" t="s">
        <v>65</v>
      </c>
      <c r="C30" s="702"/>
      <c r="D30" s="703"/>
      <c r="E30" s="532">
        <f>H22*0.2</f>
        <v>31.680000000000003</v>
      </c>
      <c r="F30" s="533"/>
      <c r="G30" s="533"/>
      <c r="H30" s="534"/>
      <c r="I30" s="535">
        <f>L22*0.2</f>
        <v>17.16</v>
      </c>
      <c r="J30" s="536"/>
      <c r="K30" s="536"/>
      <c r="L30" s="537"/>
      <c r="M30" s="103" t="s">
        <v>414</v>
      </c>
      <c r="N30" s="20" t="s">
        <v>68</v>
      </c>
      <c r="O30" s="104"/>
    </row>
    <row r="31" spans="1:15" ht="17.25" customHeight="1">
      <c r="B31" s="704"/>
      <c r="C31" s="705"/>
      <c r="D31" s="706"/>
      <c r="E31" s="32" t="s">
        <v>66</v>
      </c>
      <c r="F31" s="538">
        <v>0</v>
      </c>
      <c r="G31" s="538"/>
      <c r="H31" s="539"/>
      <c r="I31" s="32" t="s">
        <v>66</v>
      </c>
      <c r="J31" s="512" t="s">
        <v>129</v>
      </c>
      <c r="K31" s="512"/>
      <c r="L31" s="513"/>
      <c r="M31" s="707" t="s">
        <v>70</v>
      </c>
      <c r="N31" s="699" t="s">
        <v>71</v>
      </c>
      <c r="O31" s="104"/>
    </row>
    <row r="32" spans="1:15" ht="17.25" customHeight="1">
      <c r="B32" s="704"/>
      <c r="C32" s="705"/>
      <c r="D32" s="706"/>
      <c r="E32" s="32" t="s">
        <v>69</v>
      </c>
      <c r="F32" s="540">
        <v>0</v>
      </c>
      <c r="G32" s="540"/>
      <c r="H32" s="541"/>
      <c r="I32" s="32" t="s">
        <v>69</v>
      </c>
      <c r="J32" s="512" t="s">
        <v>130</v>
      </c>
      <c r="K32" s="512"/>
      <c r="L32" s="513"/>
      <c r="M32" s="707"/>
      <c r="N32" s="699"/>
      <c r="O32" s="104"/>
    </row>
    <row r="33" spans="2:17" ht="17.25" customHeight="1">
      <c r="B33" s="704"/>
      <c r="C33" s="705"/>
      <c r="D33" s="706"/>
      <c r="E33" s="32" t="s">
        <v>72</v>
      </c>
      <c r="F33" s="514">
        <v>0</v>
      </c>
      <c r="G33" s="514"/>
      <c r="H33" s="515"/>
      <c r="I33" s="32" t="s">
        <v>72</v>
      </c>
      <c r="J33" s="379">
        <v>0</v>
      </c>
      <c r="K33" s="379"/>
      <c r="L33" s="380"/>
      <c r="M33" s="700" t="s">
        <v>74</v>
      </c>
      <c r="N33" s="357" t="s">
        <v>75</v>
      </c>
      <c r="O33" s="104"/>
    </row>
    <row r="34" spans="2:17" ht="17.25" customHeight="1">
      <c r="B34" s="716" t="s">
        <v>415</v>
      </c>
      <c r="C34" s="717"/>
      <c r="D34" s="718"/>
      <c r="E34" s="32" t="s">
        <v>73</v>
      </c>
      <c r="F34" s="516">
        <f>E30/0.2</f>
        <v>158.4</v>
      </c>
      <c r="G34" s="516"/>
      <c r="H34" s="517"/>
      <c r="I34" s="32" t="s">
        <v>73</v>
      </c>
      <c r="J34" s="518">
        <v>0</v>
      </c>
      <c r="K34" s="518"/>
      <c r="L34" s="519"/>
      <c r="M34" s="700"/>
      <c r="N34" s="357"/>
      <c r="O34" s="104"/>
    </row>
    <row r="35" spans="2:17" ht="17.25" customHeight="1">
      <c r="B35" s="716"/>
      <c r="C35" s="717"/>
      <c r="D35" s="718"/>
      <c r="E35" s="32" t="s">
        <v>76</v>
      </c>
      <c r="F35" s="487">
        <v>0</v>
      </c>
      <c r="G35" s="487"/>
      <c r="H35" s="488"/>
      <c r="I35" s="542" t="s">
        <v>169</v>
      </c>
      <c r="J35" s="543"/>
      <c r="K35" s="543"/>
      <c r="L35" s="544"/>
      <c r="M35" s="700"/>
      <c r="N35" s="357"/>
      <c r="O35" s="104"/>
    </row>
    <row r="36" spans="2:17" ht="17.25" customHeight="1">
      <c r="B36" s="716"/>
      <c r="C36" s="717"/>
      <c r="D36" s="718"/>
      <c r="E36" s="32" t="s">
        <v>77</v>
      </c>
      <c r="F36" s="508">
        <v>0</v>
      </c>
      <c r="G36" s="508"/>
      <c r="H36" s="509"/>
      <c r="I36" s="545"/>
      <c r="J36" s="546"/>
      <c r="K36" s="546"/>
      <c r="L36" s="547"/>
      <c r="M36" s="24"/>
      <c r="N36" s="105"/>
      <c r="O36" s="104"/>
    </row>
    <row r="37" spans="2:17" ht="17.25" customHeight="1">
      <c r="B37" s="719"/>
      <c r="C37" s="720"/>
      <c r="D37" s="721"/>
      <c r="E37" s="32" t="s">
        <v>78</v>
      </c>
      <c r="F37" s="510">
        <f>E30/0.3</f>
        <v>105.60000000000001</v>
      </c>
      <c r="G37" s="510"/>
      <c r="H37" s="511"/>
      <c r="I37" s="548"/>
      <c r="J37" s="549"/>
      <c r="K37" s="549"/>
      <c r="L37" s="550"/>
      <c r="M37" s="707" t="s">
        <v>172</v>
      </c>
      <c r="N37" s="707" t="s">
        <v>80</v>
      </c>
      <c r="O37" s="104"/>
    </row>
    <row r="38" spans="2:17" ht="17.25" customHeight="1">
      <c r="B38" s="489" t="s">
        <v>416</v>
      </c>
      <c r="C38" s="490"/>
      <c r="D38" s="491"/>
      <c r="E38" s="708">
        <f>H22*0.4</f>
        <v>63.360000000000007</v>
      </c>
      <c r="F38" s="709"/>
      <c r="G38" s="709"/>
      <c r="H38" s="710"/>
      <c r="I38" s="711">
        <f>L22*0.3</f>
        <v>25.74</v>
      </c>
      <c r="J38" s="712"/>
      <c r="K38" s="712"/>
      <c r="L38" s="713"/>
      <c r="M38" s="707"/>
      <c r="N38" s="707"/>
      <c r="O38" s="104"/>
    </row>
    <row r="39" spans="2:17" ht="17.25" customHeight="1">
      <c r="B39" s="492"/>
      <c r="C39" s="493"/>
      <c r="D39" s="494"/>
      <c r="E39" s="33" t="s">
        <v>66</v>
      </c>
      <c r="F39" s="644">
        <f>E38/0.3</f>
        <v>211.20000000000002</v>
      </c>
      <c r="G39" s="644"/>
      <c r="H39" s="645"/>
      <c r="I39" s="33" t="s">
        <v>66</v>
      </c>
      <c r="J39" s="470">
        <f>I38/0.15</f>
        <v>171.6</v>
      </c>
      <c r="K39" s="470"/>
      <c r="L39" s="471"/>
      <c r="M39" s="24"/>
      <c r="N39" s="106"/>
      <c r="O39" s="104"/>
    </row>
    <row r="40" spans="2:17" ht="17.25" customHeight="1">
      <c r="B40" s="492"/>
      <c r="C40" s="493"/>
      <c r="D40" s="494"/>
      <c r="E40" s="33" t="s">
        <v>69</v>
      </c>
      <c r="F40" s="464">
        <v>0</v>
      </c>
      <c r="G40" s="464"/>
      <c r="H40" s="465"/>
      <c r="I40" s="33" t="s">
        <v>69</v>
      </c>
      <c r="J40" s="714">
        <v>0</v>
      </c>
      <c r="K40" s="714"/>
      <c r="L40" s="715"/>
      <c r="M40" s="707" t="s">
        <v>171</v>
      </c>
      <c r="N40" s="106"/>
      <c r="O40" s="104"/>
    </row>
    <row r="41" spans="2:17" ht="17.25" customHeight="1">
      <c r="B41" s="458" t="s">
        <v>81</v>
      </c>
      <c r="C41" s="459"/>
      <c r="D41" s="460"/>
      <c r="E41" s="33" t="s">
        <v>72</v>
      </c>
      <c r="F41" s="501">
        <v>0</v>
      </c>
      <c r="G41" s="501"/>
      <c r="H41" s="502"/>
      <c r="I41" s="726" t="s">
        <v>82</v>
      </c>
      <c r="J41" s="727"/>
      <c r="K41" s="727"/>
      <c r="L41" s="728"/>
      <c r="M41" s="707"/>
      <c r="N41" s="23"/>
      <c r="O41" s="104"/>
      <c r="Q41" s="8" t="s">
        <v>83</v>
      </c>
    </row>
    <row r="42" spans="2:17" ht="17.25" customHeight="1">
      <c r="B42" s="458"/>
      <c r="C42" s="459"/>
      <c r="D42" s="460"/>
      <c r="E42" s="33" t="s">
        <v>73</v>
      </c>
      <c r="F42" s="735">
        <v>0</v>
      </c>
      <c r="G42" s="735"/>
      <c r="H42" s="736"/>
      <c r="I42" s="729"/>
      <c r="J42" s="730"/>
      <c r="K42" s="730"/>
      <c r="L42" s="731"/>
      <c r="M42" s="107" t="s">
        <v>85</v>
      </c>
      <c r="N42" s="108" t="s">
        <v>85</v>
      </c>
      <c r="O42" s="104"/>
    </row>
    <row r="43" spans="2:17" ht="17.25" customHeight="1">
      <c r="B43" s="458"/>
      <c r="C43" s="459"/>
      <c r="D43" s="460"/>
      <c r="E43" s="33" t="s">
        <v>76</v>
      </c>
      <c r="F43" s="436">
        <f>E38/0.2</f>
        <v>316.8</v>
      </c>
      <c r="G43" s="436"/>
      <c r="H43" s="437"/>
      <c r="I43" s="729"/>
      <c r="J43" s="730"/>
      <c r="K43" s="730"/>
      <c r="L43" s="731"/>
      <c r="M43" s="103" t="s">
        <v>86</v>
      </c>
      <c r="N43" s="20" t="s">
        <v>87</v>
      </c>
      <c r="O43" s="104"/>
    </row>
    <row r="44" spans="2:17" ht="17.25" customHeight="1">
      <c r="B44" s="461"/>
      <c r="C44" s="462"/>
      <c r="D44" s="463"/>
      <c r="E44" s="33" t="s">
        <v>77</v>
      </c>
      <c r="F44" s="485">
        <v>0</v>
      </c>
      <c r="G44" s="485"/>
      <c r="H44" s="486"/>
      <c r="I44" s="732"/>
      <c r="J44" s="733"/>
      <c r="K44" s="733"/>
      <c r="L44" s="734"/>
      <c r="M44" s="699" t="s">
        <v>174</v>
      </c>
      <c r="N44" s="699" t="s">
        <v>88</v>
      </c>
      <c r="O44" s="104"/>
    </row>
    <row r="45" spans="2:17" ht="17.25" customHeight="1">
      <c r="B45" s="443" t="s">
        <v>417</v>
      </c>
      <c r="C45" s="444"/>
      <c r="D45" s="445"/>
      <c r="E45" s="723">
        <f>H22*0.3</f>
        <v>47.52</v>
      </c>
      <c r="F45" s="724"/>
      <c r="G45" s="724"/>
      <c r="H45" s="725"/>
      <c r="I45" s="711">
        <f>L22*0.3</f>
        <v>25.74</v>
      </c>
      <c r="J45" s="712"/>
      <c r="K45" s="712"/>
      <c r="L45" s="713"/>
      <c r="M45" s="699"/>
      <c r="N45" s="699"/>
      <c r="O45" s="104"/>
    </row>
    <row r="46" spans="2:17" ht="17.25" customHeight="1">
      <c r="B46" s="446"/>
      <c r="C46" s="447"/>
      <c r="D46" s="448"/>
      <c r="E46" s="35" t="s">
        <v>66</v>
      </c>
      <c r="F46" s="468">
        <f>E45/0.3</f>
        <v>158.4</v>
      </c>
      <c r="G46" s="468"/>
      <c r="H46" s="469"/>
      <c r="I46" s="33" t="s">
        <v>66</v>
      </c>
      <c r="J46" s="470">
        <f>I45/0.15</f>
        <v>171.6</v>
      </c>
      <c r="K46" s="470"/>
      <c r="L46" s="471"/>
      <c r="M46" s="699"/>
      <c r="N46" s="699"/>
      <c r="O46" s="104"/>
    </row>
    <row r="47" spans="2:17" ht="17.25" customHeight="1">
      <c r="B47" s="446"/>
      <c r="C47" s="447"/>
      <c r="D47" s="448"/>
      <c r="E47" s="35" t="s">
        <v>69</v>
      </c>
      <c r="F47" s="472">
        <v>0</v>
      </c>
      <c r="G47" s="472"/>
      <c r="H47" s="473"/>
      <c r="I47" s="474" t="s">
        <v>418</v>
      </c>
      <c r="J47" s="475"/>
      <c r="K47" s="475"/>
      <c r="L47" s="476"/>
      <c r="M47" s="357" t="s">
        <v>419</v>
      </c>
      <c r="N47" s="357" t="s">
        <v>90</v>
      </c>
      <c r="O47" s="104"/>
    </row>
    <row r="48" spans="2:17" ht="17.25" customHeight="1">
      <c r="B48" s="446"/>
      <c r="C48" s="447"/>
      <c r="D48" s="448"/>
      <c r="E48" s="35" t="s">
        <v>72</v>
      </c>
      <c r="F48" s="483">
        <v>0</v>
      </c>
      <c r="G48" s="483"/>
      <c r="H48" s="484"/>
      <c r="I48" s="477"/>
      <c r="J48" s="478"/>
      <c r="K48" s="478"/>
      <c r="L48" s="479"/>
      <c r="M48" s="357"/>
      <c r="N48" s="357"/>
      <c r="O48" s="104"/>
    </row>
    <row r="49" spans="1:15" ht="17.25" customHeight="1">
      <c r="B49" s="446"/>
      <c r="C49" s="447"/>
      <c r="D49" s="448"/>
      <c r="E49" s="35" t="s">
        <v>73</v>
      </c>
      <c r="F49" s="436">
        <f>E45/0.2</f>
        <v>237.6</v>
      </c>
      <c r="G49" s="436"/>
      <c r="H49" s="437"/>
      <c r="I49" s="477"/>
      <c r="J49" s="478"/>
      <c r="K49" s="478"/>
      <c r="L49" s="479"/>
      <c r="M49" s="699" t="s">
        <v>186</v>
      </c>
      <c r="N49" s="722" t="s">
        <v>92</v>
      </c>
      <c r="O49" s="104"/>
    </row>
    <row r="50" spans="1:15" ht="17.25" customHeight="1">
      <c r="B50" s="449"/>
      <c r="C50" s="450"/>
      <c r="D50" s="451"/>
      <c r="E50" s="35" t="s">
        <v>76</v>
      </c>
      <c r="F50" s="485">
        <v>0</v>
      </c>
      <c r="G50" s="485"/>
      <c r="H50" s="486"/>
      <c r="I50" s="480"/>
      <c r="J50" s="481"/>
      <c r="K50" s="481"/>
      <c r="L50" s="482"/>
      <c r="M50" s="699"/>
      <c r="N50" s="722"/>
      <c r="O50" s="104"/>
    </row>
    <row r="51" spans="1:15" ht="17.25" customHeight="1">
      <c r="B51" s="367" t="s">
        <v>93</v>
      </c>
      <c r="C51" s="368"/>
      <c r="D51" s="369"/>
      <c r="E51" s="373">
        <f>H22*0.1</f>
        <v>15.840000000000002</v>
      </c>
      <c r="F51" s="374"/>
      <c r="G51" s="374"/>
      <c r="H51" s="375"/>
      <c r="I51" s="376">
        <f>L22*0.2</f>
        <v>17.16</v>
      </c>
      <c r="J51" s="377"/>
      <c r="K51" s="377"/>
      <c r="L51" s="378"/>
      <c r="M51" s="357" t="s">
        <v>187</v>
      </c>
      <c r="N51" s="109"/>
      <c r="O51" s="104"/>
    </row>
    <row r="52" spans="1:15" ht="17.25" customHeight="1">
      <c r="B52" s="370"/>
      <c r="C52" s="371"/>
      <c r="D52" s="372"/>
      <c r="E52" s="341" t="s">
        <v>182</v>
      </c>
      <c r="F52" s="744"/>
      <c r="G52" s="744"/>
      <c r="H52" s="745"/>
      <c r="I52" s="40" t="s">
        <v>66</v>
      </c>
      <c r="J52" s="379">
        <v>0</v>
      </c>
      <c r="K52" s="379"/>
      <c r="L52" s="380"/>
      <c r="M52" s="357"/>
      <c r="N52" s="23"/>
      <c r="O52" s="104"/>
    </row>
    <row r="53" spans="1:15" ht="17.25" customHeight="1">
      <c r="B53" s="381" t="s">
        <v>181</v>
      </c>
      <c r="C53" s="749"/>
      <c r="D53" s="750"/>
      <c r="E53" s="746"/>
      <c r="F53" s="747"/>
      <c r="G53" s="747"/>
      <c r="H53" s="748"/>
      <c r="I53" s="62" t="s">
        <v>69</v>
      </c>
      <c r="J53" s="388" t="s">
        <v>180</v>
      </c>
      <c r="K53" s="388"/>
      <c r="L53" s="389"/>
      <c r="M53" s="110" t="s">
        <v>94</v>
      </c>
      <c r="N53" s="23"/>
      <c r="O53" s="104"/>
    </row>
    <row r="54" spans="1:15" ht="17.25" customHeight="1">
      <c r="B54" s="381"/>
      <c r="C54" s="749"/>
      <c r="D54" s="750"/>
      <c r="E54" s="347" t="s">
        <v>183</v>
      </c>
      <c r="F54" s="348"/>
      <c r="G54" s="348"/>
      <c r="H54" s="349"/>
      <c r="I54" s="63"/>
      <c r="J54" s="350" t="s">
        <v>185</v>
      </c>
      <c r="K54" s="350"/>
      <c r="L54" s="351"/>
      <c r="M54" s="357" t="s">
        <v>95</v>
      </c>
      <c r="N54" s="23"/>
      <c r="O54" s="104"/>
    </row>
    <row r="55" spans="1:15" ht="17.25" customHeight="1">
      <c r="B55" s="751"/>
      <c r="C55" s="752"/>
      <c r="D55" s="753"/>
      <c r="E55" s="347" t="s">
        <v>184</v>
      </c>
      <c r="F55" s="348"/>
      <c r="G55" s="348"/>
      <c r="H55" s="349"/>
      <c r="I55" s="64"/>
      <c r="J55" s="352" t="s">
        <v>188</v>
      </c>
      <c r="K55" s="352"/>
      <c r="L55" s="353"/>
      <c r="M55" s="737"/>
      <c r="N55" s="27"/>
      <c r="O55" s="104"/>
    </row>
    <row r="56" spans="1:15" ht="17.25" customHeight="1">
      <c r="B56" s="358" t="s">
        <v>96</v>
      </c>
      <c r="C56" s="359"/>
      <c r="D56" s="360"/>
      <c r="E56" s="738">
        <f>E51+E45+E38+E30</f>
        <v>158.4</v>
      </c>
      <c r="F56" s="739"/>
      <c r="G56" s="739"/>
      <c r="H56" s="740"/>
      <c r="I56" s="741">
        <f>I51+I45+I38+I30</f>
        <v>85.8</v>
      </c>
      <c r="J56" s="742"/>
      <c r="K56" s="742"/>
      <c r="L56" s="743"/>
      <c r="M56" s="28" t="s">
        <v>97</v>
      </c>
      <c r="N56" s="28" t="s">
        <v>98</v>
      </c>
    </row>
    <row r="57" spans="1:15" ht="17.25" customHeight="1">
      <c r="A57" s="45" t="s">
        <v>135</v>
      </c>
      <c r="O57" s="45" t="s">
        <v>136</v>
      </c>
    </row>
    <row r="58" spans="1:15" ht="17.25" customHeight="1">
      <c r="B58" s="354" t="s">
        <v>420</v>
      </c>
      <c r="C58" s="355"/>
      <c r="D58" s="355"/>
      <c r="E58" s="355"/>
      <c r="F58" s="355"/>
      <c r="G58" s="355"/>
      <c r="H58" s="355"/>
      <c r="I58" s="355"/>
      <c r="J58" s="355"/>
      <c r="K58" s="355"/>
      <c r="L58" s="355"/>
      <c r="M58" s="355"/>
      <c r="N58" s="356"/>
    </row>
    <row r="59" spans="1:15" ht="17.25" customHeight="1">
      <c r="B59" s="310" t="s">
        <v>167</v>
      </c>
      <c r="C59" s="311"/>
      <c r="D59" s="311"/>
      <c r="E59" s="311"/>
      <c r="F59" s="311"/>
      <c r="G59" s="311"/>
      <c r="H59" s="311"/>
      <c r="I59" s="311"/>
      <c r="J59" s="311"/>
      <c r="K59" s="311"/>
      <c r="L59" s="311"/>
      <c r="M59" s="311"/>
      <c r="N59" s="312"/>
    </row>
    <row r="60" spans="1:15" ht="17.25" customHeight="1">
      <c r="B60" s="313" t="s">
        <v>64</v>
      </c>
      <c r="C60" s="314"/>
      <c r="D60" s="315"/>
      <c r="E60" s="754" t="s">
        <v>53</v>
      </c>
      <c r="F60" s="755"/>
      <c r="G60" s="755"/>
      <c r="H60" s="756"/>
      <c r="I60" s="313" t="s">
        <v>54</v>
      </c>
      <c r="J60" s="314"/>
      <c r="K60" s="314"/>
      <c r="L60" s="315"/>
      <c r="M60" s="30" t="s">
        <v>55</v>
      </c>
      <c r="N60" s="30" t="s">
        <v>56</v>
      </c>
    </row>
    <row r="61" spans="1:15" ht="17.25" customHeight="1">
      <c r="B61" s="316" t="s">
        <v>99</v>
      </c>
      <c r="C61" s="317"/>
      <c r="D61" s="318"/>
      <c r="E61" s="325">
        <f>H23*0.2</f>
        <v>26.400000000000002</v>
      </c>
      <c r="F61" s="326"/>
      <c r="G61" s="326"/>
      <c r="H61" s="327"/>
      <c r="I61" s="328">
        <f>I30</f>
        <v>17.16</v>
      </c>
      <c r="J61" s="329"/>
      <c r="K61" s="329"/>
      <c r="L61" s="330"/>
      <c r="M61" s="331" t="s">
        <v>100</v>
      </c>
      <c r="N61" s="334" t="s">
        <v>100</v>
      </c>
    </row>
    <row r="62" spans="1:15" ht="17.25" customHeight="1">
      <c r="B62" s="319"/>
      <c r="C62" s="320"/>
      <c r="D62" s="321"/>
      <c r="E62" s="36" t="s">
        <v>66</v>
      </c>
      <c r="F62" s="300">
        <v>0</v>
      </c>
      <c r="G62" s="300"/>
      <c r="H62" s="301"/>
      <c r="I62" s="36" t="s">
        <v>66</v>
      </c>
      <c r="J62" s="302" t="s">
        <v>129</v>
      </c>
      <c r="K62" s="302"/>
      <c r="L62" s="303"/>
      <c r="M62" s="332"/>
      <c r="N62" s="335"/>
    </row>
    <row r="63" spans="1:15" ht="17.25" customHeight="1">
      <c r="B63" s="319"/>
      <c r="C63" s="320"/>
      <c r="D63" s="321"/>
      <c r="E63" s="36" t="s">
        <v>69</v>
      </c>
      <c r="F63" s="304">
        <v>0</v>
      </c>
      <c r="G63" s="304"/>
      <c r="H63" s="305"/>
      <c r="I63" s="36" t="s">
        <v>69</v>
      </c>
      <c r="J63" s="302" t="s">
        <v>130</v>
      </c>
      <c r="K63" s="302"/>
      <c r="L63" s="303"/>
      <c r="M63" s="332"/>
      <c r="N63" s="335"/>
    </row>
    <row r="64" spans="1:15" ht="17.25" customHeight="1">
      <c r="B64" s="319"/>
      <c r="C64" s="320"/>
      <c r="D64" s="321"/>
      <c r="E64" s="36" t="s">
        <v>72</v>
      </c>
      <c r="F64" s="306">
        <v>0</v>
      </c>
      <c r="G64" s="306"/>
      <c r="H64" s="307"/>
      <c r="I64" s="36" t="s">
        <v>72</v>
      </c>
      <c r="J64" s="308">
        <v>0</v>
      </c>
      <c r="K64" s="308"/>
      <c r="L64" s="309"/>
      <c r="M64" s="332"/>
      <c r="N64" s="335"/>
    </row>
    <row r="65" spans="2:14" ht="17.25" customHeight="1">
      <c r="B65" s="319"/>
      <c r="C65" s="320"/>
      <c r="D65" s="321"/>
      <c r="E65" s="36" t="s">
        <v>73</v>
      </c>
      <c r="F65" s="337">
        <v>0</v>
      </c>
      <c r="G65" s="337"/>
      <c r="H65" s="338"/>
      <c r="I65" s="36" t="s">
        <v>73</v>
      </c>
      <c r="J65" s="339">
        <v>0</v>
      </c>
      <c r="K65" s="339"/>
      <c r="L65" s="340"/>
      <c r="M65" s="332"/>
      <c r="N65" s="335"/>
    </row>
    <row r="66" spans="2:14" ht="17.25" customHeight="1">
      <c r="B66" s="319"/>
      <c r="C66" s="320"/>
      <c r="D66" s="321"/>
      <c r="E66" s="36" t="s">
        <v>76</v>
      </c>
      <c r="F66" s="285">
        <v>0</v>
      </c>
      <c r="G66" s="285"/>
      <c r="H66" s="286"/>
      <c r="I66" s="287" t="s">
        <v>101</v>
      </c>
      <c r="J66" s="288"/>
      <c r="K66" s="288"/>
      <c r="L66" s="289"/>
      <c r="M66" s="332"/>
      <c r="N66" s="335"/>
    </row>
    <row r="67" spans="2:14" ht="17.25" customHeight="1">
      <c r="B67" s="319"/>
      <c r="C67" s="320"/>
      <c r="D67" s="321"/>
      <c r="E67" s="36" t="s">
        <v>77</v>
      </c>
      <c r="F67" s="296">
        <v>0</v>
      </c>
      <c r="G67" s="296"/>
      <c r="H67" s="297"/>
      <c r="I67" s="290"/>
      <c r="J67" s="291"/>
      <c r="K67" s="291"/>
      <c r="L67" s="292"/>
      <c r="M67" s="332"/>
      <c r="N67" s="335"/>
    </row>
    <row r="68" spans="2:14" ht="17.25" customHeight="1">
      <c r="B68" s="322"/>
      <c r="C68" s="323"/>
      <c r="D68" s="324"/>
      <c r="E68" s="36" t="s">
        <v>78</v>
      </c>
      <c r="F68" s="298">
        <f>E61/0.2</f>
        <v>132</v>
      </c>
      <c r="G68" s="298"/>
      <c r="H68" s="299"/>
      <c r="I68" s="293"/>
      <c r="J68" s="294"/>
      <c r="K68" s="294"/>
      <c r="L68" s="295"/>
      <c r="M68" s="332"/>
      <c r="N68" s="335"/>
    </row>
    <row r="69" spans="2:14" ht="17.25" customHeight="1">
      <c r="B69" s="249" t="s">
        <v>102</v>
      </c>
      <c r="C69" s="250"/>
      <c r="D69" s="251"/>
      <c r="E69" s="258">
        <f>H23*0.3</f>
        <v>39.6</v>
      </c>
      <c r="F69" s="259"/>
      <c r="G69" s="259"/>
      <c r="H69" s="260"/>
      <c r="I69" s="261">
        <f>I38</f>
        <v>25.74</v>
      </c>
      <c r="J69" s="262"/>
      <c r="K69" s="262"/>
      <c r="L69" s="263"/>
      <c r="M69" s="332"/>
      <c r="N69" s="335"/>
    </row>
    <row r="70" spans="2:14" ht="17.25" customHeight="1">
      <c r="B70" s="252"/>
      <c r="C70" s="253"/>
      <c r="D70" s="254"/>
      <c r="E70" s="37" t="s">
        <v>66</v>
      </c>
      <c r="F70" s="264">
        <f>E69/0.2</f>
        <v>198</v>
      </c>
      <c r="G70" s="264"/>
      <c r="H70" s="265"/>
      <c r="I70" s="37" t="s">
        <v>66</v>
      </c>
      <c r="J70" s="266">
        <f>26/0.25</f>
        <v>104</v>
      </c>
      <c r="K70" s="266"/>
      <c r="L70" s="267"/>
      <c r="M70" s="332"/>
      <c r="N70" s="335"/>
    </row>
    <row r="71" spans="2:14" ht="17.25" customHeight="1">
      <c r="B71" s="252"/>
      <c r="C71" s="253"/>
      <c r="D71" s="254"/>
      <c r="E71" s="37" t="s">
        <v>69</v>
      </c>
      <c r="F71" s="268">
        <v>0</v>
      </c>
      <c r="G71" s="268"/>
      <c r="H71" s="269"/>
      <c r="I71" s="270" t="s">
        <v>103</v>
      </c>
      <c r="J71" s="271"/>
      <c r="K71" s="271"/>
      <c r="L71" s="272"/>
      <c r="M71" s="332"/>
      <c r="N71" s="335"/>
    </row>
    <row r="72" spans="2:14" ht="17.25" customHeight="1">
      <c r="B72" s="252"/>
      <c r="C72" s="253"/>
      <c r="D72" s="254"/>
      <c r="E72" s="37" t="s">
        <v>72</v>
      </c>
      <c r="F72" s="279">
        <v>0</v>
      </c>
      <c r="G72" s="279"/>
      <c r="H72" s="280"/>
      <c r="I72" s="273"/>
      <c r="J72" s="274"/>
      <c r="K72" s="274"/>
      <c r="L72" s="275"/>
      <c r="M72" s="332"/>
      <c r="N72" s="335"/>
    </row>
    <row r="73" spans="2:14" ht="17.25" customHeight="1">
      <c r="B73" s="252"/>
      <c r="C73" s="253"/>
      <c r="D73" s="254"/>
      <c r="E73" s="37" t="s">
        <v>73</v>
      </c>
      <c r="F73" s="281">
        <v>0</v>
      </c>
      <c r="G73" s="281"/>
      <c r="H73" s="282"/>
      <c r="I73" s="273"/>
      <c r="J73" s="274"/>
      <c r="K73" s="274"/>
      <c r="L73" s="275"/>
      <c r="M73" s="332"/>
      <c r="N73" s="335"/>
    </row>
    <row r="74" spans="2:14" ht="17.25" customHeight="1">
      <c r="B74" s="255"/>
      <c r="C74" s="256"/>
      <c r="D74" s="257"/>
      <c r="E74" s="37" t="s">
        <v>76</v>
      </c>
      <c r="F74" s="283">
        <v>0</v>
      </c>
      <c r="G74" s="283"/>
      <c r="H74" s="284"/>
      <c r="I74" s="276"/>
      <c r="J74" s="277"/>
      <c r="K74" s="277"/>
      <c r="L74" s="278"/>
      <c r="M74" s="332"/>
      <c r="N74" s="335"/>
    </row>
    <row r="75" spans="2:14" ht="17.25" customHeight="1">
      <c r="B75" s="213" t="s">
        <v>104</v>
      </c>
      <c r="C75" s="214"/>
      <c r="D75" s="215"/>
      <c r="E75" s="222">
        <f>H23*0.3</f>
        <v>39.6</v>
      </c>
      <c r="F75" s="223"/>
      <c r="G75" s="223"/>
      <c r="H75" s="224"/>
      <c r="I75" s="225">
        <f>I45</f>
        <v>25.74</v>
      </c>
      <c r="J75" s="226"/>
      <c r="K75" s="226"/>
      <c r="L75" s="227"/>
      <c r="M75" s="332"/>
      <c r="N75" s="335"/>
    </row>
    <row r="76" spans="2:14" ht="17.25" customHeight="1">
      <c r="B76" s="216"/>
      <c r="C76" s="217"/>
      <c r="D76" s="218"/>
      <c r="E76" s="38" t="s">
        <v>66</v>
      </c>
      <c r="F76" s="228">
        <f>40/0.2</f>
        <v>200</v>
      </c>
      <c r="G76" s="228"/>
      <c r="H76" s="229"/>
      <c r="I76" s="42" t="s">
        <v>66</v>
      </c>
      <c r="J76" s="230">
        <f>26/0.25</f>
        <v>104</v>
      </c>
      <c r="K76" s="230"/>
      <c r="L76" s="231"/>
      <c r="M76" s="332"/>
      <c r="N76" s="335"/>
    </row>
    <row r="77" spans="2:14" ht="17.25" customHeight="1">
      <c r="B77" s="216"/>
      <c r="C77" s="217"/>
      <c r="D77" s="218"/>
      <c r="E77" s="38" t="s">
        <v>69</v>
      </c>
      <c r="F77" s="232">
        <v>0</v>
      </c>
      <c r="G77" s="232"/>
      <c r="H77" s="233"/>
      <c r="I77" s="234" t="s">
        <v>105</v>
      </c>
      <c r="J77" s="235"/>
      <c r="K77" s="235"/>
      <c r="L77" s="236"/>
      <c r="M77" s="332"/>
      <c r="N77" s="335"/>
    </row>
    <row r="78" spans="2:14" ht="17.25" customHeight="1">
      <c r="B78" s="216"/>
      <c r="C78" s="217"/>
      <c r="D78" s="218"/>
      <c r="E78" s="38" t="s">
        <v>72</v>
      </c>
      <c r="F78" s="243">
        <v>0</v>
      </c>
      <c r="G78" s="243"/>
      <c r="H78" s="244"/>
      <c r="I78" s="237"/>
      <c r="J78" s="238"/>
      <c r="K78" s="238"/>
      <c r="L78" s="239"/>
      <c r="M78" s="332"/>
      <c r="N78" s="335"/>
    </row>
    <row r="79" spans="2:14" ht="17.25" customHeight="1">
      <c r="B79" s="216"/>
      <c r="C79" s="217"/>
      <c r="D79" s="218"/>
      <c r="E79" s="38" t="s">
        <v>73</v>
      </c>
      <c r="F79" s="245">
        <v>0</v>
      </c>
      <c r="G79" s="245"/>
      <c r="H79" s="246"/>
      <c r="I79" s="237"/>
      <c r="J79" s="238"/>
      <c r="K79" s="238"/>
      <c r="L79" s="239"/>
      <c r="M79" s="332"/>
      <c r="N79" s="335"/>
    </row>
    <row r="80" spans="2:14" ht="17.25" customHeight="1">
      <c r="B80" s="219"/>
      <c r="C80" s="220"/>
      <c r="D80" s="221"/>
      <c r="E80" s="38" t="s">
        <v>76</v>
      </c>
      <c r="F80" s="247">
        <v>0</v>
      </c>
      <c r="G80" s="247"/>
      <c r="H80" s="248"/>
      <c r="I80" s="240"/>
      <c r="J80" s="241"/>
      <c r="K80" s="241"/>
      <c r="L80" s="242"/>
      <c r="M80" s="332"/>
      <c r="N80" s="335"/>
    </row>
    <row r="81" spans="1:15" ht="17.25" customHeight="1">
      <c r="B81" s="179" t="s">
        <v>155</v>
      </c>
      <c r="C81" s="180"/>
      <c r="D81" s="181"/>
      <c r="E81" s="185">
        <f>H23*0.1</f>
        <v>13.200000000000001</v>
      </c>
      <c r="F81" s="186"/>
      <c r="G81" s="186"/>
      <c r="H81" s="187"/>
      <c r="I81" s="188">
        <f>I51</f>
        <v>17.16</v>
      </c>
      <c r="J81" s="189"/>
      <c r="K81" s="189"/>
      <c r="L81" s="190"/>
      <c r="M81" s="332"/>
      <c r="N81" s="335"/>
    </row>
    <row r="82" spans="1:15" ht="17.25" customHeight="1">
      <c r="B82" s="182"/>
      <c r="C82" s="183"/>
      <c r="D82" s="184"/>
      <c r="E82" s="202" t="s">
        <v>182</v>
      </c>
      <c r="F82" s="757"/>
      <c r="G82" s="757"/>
      <c r="H82" s="758"/>
      <c r="I82" s="65" t="s">
        <v>66</v>
      </c>
      <c r="J82" s="191">
        <f>17/0.25</f>
        <v>68</v>
      </c>
      <c r="K82" s="191"/>
      <c r="L82" s="192"/>
      <c r="M82" s="332"/>
      <c r="N82" s="335"/>
    </row>
    <row r="83" spans="1:15" ht="17.25" customHeight="1">
      <c r="B83" s="193" t="s">
        <v>181</v>
      </c>
      <c r="C83" s="762"/>
      <c r="D83" s="763"/>
      <c r="E83" s="759"/>
      <c r="F83" s="760"/>
      <c r="G83" s="760"/>
      <c r="H83" s="761"/>
      <c r="I83" s="66" t="s">
        <v>69</v>
      </c>
      <c r="J83" s="200" t="s">
        <v>180</v>
      </c>
      <c r="K83" s="200"/>
      <c r="L83" s="201"/>
      <c r="M83" s="332"/>
      <c r="N83" s="335"/>
    </row>
    <row r="84" spans="1:15" ht="17.25" customHeight="1">
      <c r="B84" s="193"/>
      <c r="C84" s="762"/>
      <c r="D84" s="763"/>
      <c r="E84" s="208" t="s">
        <v>183</v>
      </c>
      <c r="F84" s="209"/>
      <c r="G84" s="209"/>
      <c r="H84" s="210"/>
      <c r="I84" s="67"/>
      <c r="J84" s="211" t="s">
        <v>185</v>
      </c>
      <c r="K84" s="211"/>
      <c r="L84" s="212"/>
      <c r="M84" s="332"/>
      <c r="N84" s="335"/>
    </row>
    <row r="85" spans="1:15" ht="17.25" customHeight="1">
      <c r="B85" s="764"/>
      <c r="C85" s="765"/>
      <c r="D85" s="766"/>
      <c r="E85" s="208" t="s">
        <v>184</v>
      </c>
      <c r="F85" s="209"/>
      <c r="G85" s="209"/>
      <c r="H85" s="210"/>
      <c r="I85" s="68"/>
      <c r="J85" s="168" t="s">
        <v>188</v>
      </c>
      <c r="K85" s="168"/>
      <c r="L85" s="169"/>
      <c r="M85" s="333"/>
      <c r="N85" s="336"/>
    </row>
    <row r="86" spans="1:15" ht="17.25" customHeight="1">
      <c r="B86" s="170" t="s">
        <v>106</v>
      </c>
      <c r="C86" s="171"/>
      <c r="D86" s="172"/>
      <c r="E86" s="173">
        <f>E81+E75+E69+E61</f>
        <v>118.80000000000001</v>
      </c>
      <c r="F86" s="174"/>
      <c r="G86" s="174"/>
      <c r="H86" s="175"/>
      <c r="I86" s="176">
        <f>I81+I75+I69+I61</f>
        <v>85.8</v>
      </c>
      <c r="J86" s="177"/>
      <c r="K86" s="177"/>
      <c r="L86" s="178"/>
      <c r="M86" s="31" t="s">
        <v>97</v>
      </c>
      <c r="N86" s="31" t="s">
        <v>98</v>
      </c>
    </row>
    <row r="87" spans="1:15" ht="17.25" customHeight="1">
      <c r="A87" s="45" t="s">
        <v>135</v>
      </c>
      <c r="O87" s="45" t="s">
        <v>136</v>
      </c>
    </row>
    <row r="88" spans="1:15" ht="17.25" customHeight="1">
      <c r="B88" s="148" t="s">
        <v>107</v>
      </c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50"/>
    </row>
    <row r="89" spans="1:15" ht="17.25" customHeight="1">
      <c r="B89" s="151" t="s">
        <v>108</v>
      </c>
      <c r="C89" s="152"/>
      <c r="D89" s="153"/>
      <c r="E89" s="154" t="s">
        <v>62</v>
      </c>
      <c r="F89" s="155"/>
      <c r="G89" s="155"/>
      <c r="H89" s="155"/>
      <c r="I89" s="155"/>
      <c r="J89" s="155"/>
      <c r="K89" s="155"/>
      <c r="L89" s="155"/>
      <c r="M89" s="155"/>
      <c r="N89" s="156"/>
    </row>
    <row r="90" spans="1:15" ht="17.25" customHeight="1">
      <c r="B90" s="151" t="s">
        <v>109</v>
      </c>
      <c r="C90" s="152"/>
      <c r="D90" s="153"/>
      <c r="E90" s="154" t="s">
        <v>110</v>
      </c>
      <c r="F90" s="155"/>
      <c r="G90" s="155"/>
      <c r="H90" s="155"/>
      <c r="I90" s="155"/>
      <c r="J90" s="155"/>
      <c r="K90" s="155"/>
      <c r="L90" s="155"/>
      <c r="M90" s="155"/>
      <c r="N90" s="156"/>
    </row>
    <row r="91" spans="1:15" ht="17.25" customHeight="1">
      <c r="B91" s="151" t="s">
        <v>111</v>
      </c>
      <c r="C91" s="152"/>
      <c r="D91" s="153"/>
      <c r="E91" s="599" t="s">
        <v>112</v>
      </c>
      <c r="F91" s="600"/>
      <c r="G91" s="600"/>
      <c r="H91" s="600"/>
      <c r="I91" s="600"/>
      <c r="J91" s="600"/>
      <c r="K91" s="600"/>
      <c r="L91" s="600"/>
      <c r="M91" s="600"/>
      <c r="N91" s="601"/>
    </row>
    <row r="92" spans="1:15" ht="17.25" customHeight="1">
      <c r="B92" s="151" t="s">
        <v>113</v>
      </c>
      <c r="C92" s="152"/>
      <c r="D92" s="153"/>
      <c r="E92" s="154" t="s">
        <v>421</v>
      </c>
      <c r="F92" s="155"/>
      <c r="G92" s="155"/>
      <c r="H92" s="155"/>
      <c r="I92" s="155"/>
      <c r="J92" s="155"/>
      <c r="K92" s="155"/>
      <c r="L92" s="155"/>
      <c r="M92" s="155"/>
      <c r="N92" s="156"/>
    </row>
    <row r="93" spans="1:15" ht="17.25" customHeight="1">
      <c r="A93" s="45" t="s">
        <v>135</v>
      </c>
      <c r="O93" s="45" t="s">
        <v>136</v>
      </c>
    </row>
    <row r="94" spans="1:15" ht="17.25" customHeight="1">
      <c r="B94" s="160" t="s">
        <v>114</v>
      </c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2"/>
    </row>
    <row r="95" spans="1:15" ht="17.25" customHeight="1">
      <c r="B95" s="142" t="s">
        <v>115</v>
      </c>
      <c r="C95" s="143"/>
      <c r="D95" s="144"/>
      <c r="E95" s="595" t="s">
        <v>128</v>
      </c>
      <c r="F95" s="596"/>
      <c r="G95" s="596"/>
      <c r="H95" s="596"/>
      <c r="I95" s="596"/>
      <c r="J95" s="596"/>
      <c r="K95" s="596"/>
      <c r="L95" s="596"/>
      <c r="M95" s="596"/>
      <c r="N95" s="597"/>
    </row>
    <row r="96" spans="1:15" ht="17.25" customHeight="1">
      <c r="B96" s="142" t="s">
        <v>116</v>
      </c>
      <c r="C96" s="143"/>
      <c r="D96" s="144"/>
      <c r="E96" s="165" t="s">
        <v>117</v>
      </c>
      <c r="F96" s="166"/>
      <c r="G96" s="166"/>
      <c r="H96" s="166"/>
      <c r="I96" s="166"/>
      <c r="J96" s="166"/>
      <c r="K96" s="166"/>
      <c r="L96" s="166"/>
      <c r="M96" s="166"/>
      <c r="N96" s="167"/>
    </row>
    <row r="97" spans="1:14" ht="17.25" customHeight="1">
      <c r="B97" s="142" t="s">
        <v>118</v>
      </c>
      <c r="C97" s="143"/>
      <c r="D97" s="144"/>
      <c r="E97" s="145" t="s">
        <v>119</v>
      </c>
      <c r="F97" s="146"/>
      <c r="G97" s="146"/>
      <c r="H97" s="146"/>
      <c r="I97" s="146"/>
      <c r="J97" s="146"/>
      <c r="K97" s="146"/>
      <c r="L97" s="146"/>
      <c r="M97" s="146"/>
      <c r="N97" s="147"/>
    </row>
    <row r="98" spans="1:14" ht="17.25" customHeight="1">
      <c r="B98" s="157" t="s">
        <v>120</v>
      </c>
      <c r="C98" s="158"/>
      <c r="D98" s="159"/>
      <c r="E98" s="145" t="s">
        <v>159</v>
      </c>
      <c r="F98" s="146"/>
      <c r="G98" s="146"/>
      <c r="H98" s="146"/>
      <c r="I98" s="146"/>
      <c r="J98" s="146"/>
      <c r="K98" s="146"/>
      <c r="L98" s="146"/>
      <c r="M98" s="146"/>
      <c r="N98" s="147"/>
    </row>
    <row r="105" spans="1:14" ht="17.25" customHeight="1">
      <c r="A105" s="45" t="s">
        <v>134</v>
      </c>
    </row>
  </sheetData>
  <mergeCells count="191">
    <mergeCell ref="B98:D98"/>
    <mergeCell ref="E98:N98"/>
    <mergeCell ref="B94:N94"/>
    <mergeCell ref="B95:D95"/>
    <mergeCell ref="E95:N95"/>
    <mergeCell ref="B96:D96"/>
    <mergeCell ref="E96:N96"/>
    <mergeCell ref="B97:D97"/>
    <mergeCell ref="E97:N97"/>
    <mergeCell ref="B90:D90"/>
    <mergeCell ref="E90:N90"/>
    <mergeCell ref="B91:D91"/>
    <mergeCell ref="E91:N91"/>
    <mergeCell ref="B92:D92"/>
    <mergeCell ref="E92:N92"/>
    <mergeCell ref="J85:L85"/>
    <mergeCell ref="B86:D86"/>
    <mergeCell ref="E86:H86"/>
    <mergeCell ref="I86:L86"/>
    <mergeCell ref="B88:N88"/>
    <mergeCell ref="B89:D89"/>
    <mergeCell ref="E89:N89"/>
    <mergeCell ref="B81:D82"/>
    <mergeCell ref="E81:H81"/>
    <mergeCell ref="I81:L81"/>
    <mergeCell ref="E82:H83"/>
    <mergeCell ref="J82:L82"/>
    <mergeCell ref="B83:D85"/>
    <mergeCell ref="J83:L83"/>
    <mergeCell ref="E84:H84"/>
    <mergeCell ref="J84:L84"/>
    <mergeCell ref="E85:H85"/>
    <mergeCell ref="I69:L69"/>
    <mergeCell ref="F70:H70"/>
    <mergeCell ref="J70:L70"/>
    <mergeCell ref="F71:H71"/>
    <mergeCell ref="I71:L74"/>
    <mergeCell ref="F72:H72"/>
    <mergeCell ref="F73:H73"/>
    <mergeCell ref="F74:H74"/>
    <mergeCell ref="B75:D80"/>
    <mergeCell ref="E75:H75"/>
    <mergeCell ref="I75:L75"/>
    <mergeCell ref="F76:H76"/>
    <mergeCell ref="J76:L76"/>
    <mergeCell ref="F77:H77"/>
    <mergeCell ref="I77:L80"/>
    <mergeCell ref="F78:H78"/>
    <mergeCell ref="F79:H79"/>
    <mergeCell ref="F80:H80"/>
    <mergeCell ref="B58:N58"/>
    <mergeCell ref="B59:N59"/>
    <mergeCell ref="B60:D60"/>
    <mergeCell ref="E60:H60"/>
    <mergeCell ref="I60:L60"/>
    <mergeCell ref="B61:D68"/>
    <mergeCell ref="E61:H61"/>
    <mergeCell ref="I61:L61"/>
    <mergeCell ref="M61:M85"/>
    <mergeCell ref="N61:N85"/>
    <mergeCell ref="F65:H65"/>
    <mergeCell ref="J65:L65"/>
    <mergeCell ref="F66:H66"/>
    <mergeCell ref="I66:L68"/>
    <mergeCell ref="F67:H67"/>
    <mergeCell ref="F68:H68"/>
    <mergeCell ref="F62:H62"/>
    <mergeCell ref="J62:L62"/>
    <mergeCell ref="F63:H63"/>
    <mergeCell ref="J63:L63"/>
    <mergeCell ref="F64:H64"/>
    <mergeCell ref="J64:L64"/>
    <mergeCell ref="B69:D74"/>
    <mergeCell ref="E69:H69"/>
    <mergeCell ref="M54:M55"/>
    <mergeCell ref="E55:H55"/>
    <mergeCell ref="J55:L55"/>
    <mergeCell ref="B56:D56"/>
    <mergeCell ref="E56:H56"/>
    <mergeCell ref="I56:L56"/>
    <mergeCell ref="B51:D52"/>
    <mergeCell ref="E51:H51"/>
    <mergeCell ref="I51:L51"/>
    <mergeCell ref="M51:M52"/>
    <mergeCell ref="E52:H53"/>
    <mergeCell ref="J52:L52"/>
    <mergeCell ref="B53:D55"/>
    <mergeCell ref="J53:L53"/>
    <mergeCell ref="E54:H54"/>
    <mergeCell ref="J54:L54"/>
    <mergeCell ref="N47:N48"/>
    <mergeCell ref="F48:H48"/>
    <mergeCell ref="F49:H49"/>
    <mergeCell ref="M49:M50"/>
    <mergeCell ref="N49:N50"/>
    <mergeCell ref="F50:H50"/>
    <mergeCell ref="M44:M46"/>
    <mergeCell ref="N44:N46"/>
    <mergeCell ref="B45:D50"/>
    <mergeCell ref="E45:H45"/>
    <mergeCell ref="I45:L45"/>
    <mergeCell ref="F46:H46"/>
    <mergeCell ref="J46:L46"/>
    <mergeCell ref="F47:H47"/>
    <mergeCell ref="I47:L50"/>
    <mergeCell ref="M47:M48"/>
    <mergeCell ref="B41:D44"/>
    <mergeCell ref="F41:H41"/>
    <mergeCell ref="I41:L44"/>
    <mergeCell ref="F42:H42"/>
    <mergeCell ref="F43:H43"/>
    <mergeCell ref="F44:H44"/>
    <mergeCell ref="M37:M38"/>
    <mergeCell ref="N37:N38"/>
    <mergeCell ref="B38:D40"/>
    <mergeCell ref="E38:H38"/>
    <mergeCell ref="I38:L38"/>
    <mergeCell ref="F39:H39"/>
    <mergeCell ref="J39:L39"/>
    <mergeCell ref="F40:H40"/>
    <mergeCell ref="J40:L40"/>
    <mergeCell ref="M40:M41"/>
    <mergeCell ref="B34:D37"/>
    <mergeCell ref="F34:H34"/>
    <mergeCell ref="J34:L34"/>
    <mergeCell ref="F35:H35"/>
    <mergeCell ref="I35:L37"/>
    <mergeCell ref="F36:H36"/>
    <mergeCell ref="F37:H37"/>
    <mergeCell ref="N31:N32"/>
    <mergeCell ref="F32:H32"/>
    <mergeCell ref="J32:L32"/>
    <mergeCell ref="F33:H33"/>
    <mergeCell ref="J33:L33"/>
    <mergeCell ref="M33:M35"/>
    <mergeCell ref="N33:N35"/>
    <mergeCell ref="B28:N28"/>
    <mergeCell ref="B29:D29"/>
    <mergeCell ref="E29:H29"/>
    <mergeCell ref="I29:L29"/>
    <mergeCell ref="B30:D33"/>
    <mergeCell ref="E30:H30"/>
    <mergeCell ref="I30:L30"/>
    <mergeCell ref="F31:H31"/>
    <mergeCell ref="J31:L31"/>
    <mergeCell ref="M31:M32"/>
    <mergeCell ref="B24:B25"/>
    <mergeCell ref="C24:D24"/>
    <mergeCell ref="E24:N24"/>
    <mergeCell ref="C25:D25"/>
    <mergeCell ref="E25:N25"/>
    <mergeCell ref="B27:N27"/>
    <mergeCell ref="I22:J22"/>
    <mergeCell ref="M22:M23"/>
    <mergeCell ref="N22:N23"/>
    <mergeCell ref="C23:D23"/>
    <mergeCell ref="E23:F23"/>
    <mergeCell ref="I23:J23"/>
    <mergeCell ref="C19:C20"/>
    <mergeCell ref="E19:F19"/>
    <mergeCell ref="G19:N20"/>
    <mergeCell ref="E20:F20"/>
    <mergeCell ref="B21:B23"/>
    <mergeCell ref="C21:D21"/>
    <mergeCell ref="E21:H21"/>
    <mergeCell ref="I21:L21"/>
    <mergeCell ref="C22:D22"/>
    <mergeCell ref="E22:F22"/>
    <mergeCell ref="B13:B20"/>
    <mergeCell ref="C17:C18"/>
    <mergeCell ref="E17:F17"/>
    <mergeCell ref="G17:N18"/>
    <mergeCell ref="E18:F18"/>
    <mergeCell ref="C10:N10"/>
    <mergeCell ref="C11:N11"/>
    <mergeCell ref="C12:N12"/>
    <mergeCell ref="C13:C16"/>
    <mergeCell ref="E13:F13"/>
    <mergeCell ref="G13:N13"/>
    <mergeCell ref="E14:F14"/>
    <mergeCell ref="G14:N14"/>
    <mergeCell ref="E15:F15"/>
    <mergeCell ref="B4:N4"/>
    <mergeCell ref="C5:N5"/>
    <mergeCell ref="C6:N6"/>
    <mergeCell ref="C7:N7"/>
    <mergeCell ref="D8:N8"/>
    <mergeCell ref="C9:N9"/>
    <mergeCell ref="G15:N15"/>
    <mergeCell ref="E16:F16"/>
    <mergeCell ref="G16:N16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F288-CAEE-AA4F-8F38-24CD304BC0FB}">
  <dimension ref="A1:Q104"/>
  <sheetViews>
    <sheetView workbookViewId="0">
      <selection activeCell="F43" sqref="F43:H43"/>
    </sheetView>
  </sheetViews>
  <sheetFormatPr baseColWidth="10" defaultColWidth="27.6640625" defaultRowHeight="17.25" customHeight="1"/>
  <cols>
    <col min="1" max="1" width="3" style="8" customWidth="1"/>
    <col min="2" max="2" width="9.5" style="8" customWidth="1"/>
    <col min="3" max="3" width="8" style="8" customWidth="1"/>
    <col min="4" max="4" width="18.33203125" style="8" customWidth="1"/>
    <col min="5" max="5" width="2" style="39" customWidth="1"/>
    <col min="6" max="6" width="7.6640625" style="8" customWidth="1"/>
    <col min="7" max="7" width="14.6640625" style="8" customWidth="1"/>
    <col min="8" max="8" width="10.6640625" style="8" customWidth="1"/>
    <col min="9" max="9" width="2" style="39" customWidth="1"/>
    <col min="10" max="10" width="7.6640625" style="8" customWidth="1"/>
    <col min="11" max="11" width="14.6640625" style="8" customWidth="1"/>
    <col min="12" max="12" width="10.6640625" style="8" customWidth="1"/>
    <col min="13" max="14" width="33.83203125" style="8" customWidth="1"/>
    <col min="15" max="15" width="3" style="8" customWidth="1"/>
    <col min="16" max="20" width="9.33203125" style="8" customWidth="1"/>
    <col min="21" max="16384" width="27.6640625" style="8"/>
  </cols>
  <sheetData>
    <row r="1" spans="1:15" ht="17.25" customHeight="1">
      <c r="A1" s="61" t="s">
        <v>166</v>
      </c>
    </row>
    <row r="2" spans="1:15" ht="17.25" customHeight="1">
      <c r="A2" s="61" t="s">
        <v>165</v>
      </c>
    </row>
    <row r="3" spans="1:15" ht="17.25" customHeight="1">
      <c r="A3" s="45"/>
    </row>
    <row r="4" spans="1:15" ht="17.25" customHeight="1">
      <c r="B4" s="587" t="s">
        <v>402</v>
      </c>
      <c r="C4" s="588"/>
      <c r="D4" s="588"/>
      <c r="E4" s="588"/>
      <c r="F4" s="588"/>
      <c r="G4" s="588"/>
      <c r="H4" s="588"/>
      <c r="I4" s="588"/>
      <c r="J4" s="588"/>
      <c r="K4" s="588"/>
      <c r="L4" s="588"/>
      <c r="M4" s="588"/>
      <c r="N4" s="589"/>
      <c r="O4" s="111"/>
    </row>
    <row r="5" spans="1:15" ht="17.25" customHeight="1">
      <c r="B5" s="9" t="s">
        <v>29</v>
      </c>
      <c r="C5" s="590" t="s">
        <v>121</v>
      </c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12"/>
    </row>
    <row r="6" spans="1:15" ht="17.25" customHeight="1">
      <c r="A6" s="45" t="s">
        <v>135</v>
      </c>
      <c r="B6" s="9" t="s">
        <v>30</v>
      </c>
      <c r="C6" s="591" t="s">
        <v>121</v>
      </c>
      <c r="D6" s="591"/>
      <c r="E6" s="591"/>
      <c r="F6" s="591"/>
      <c r="G6" s="591"/>
      <c r="H6" s="591"/>
      <c r="I6" s="591"/>
      <c r="J6" s="591"/>
      <c r="K6" s="591"/>
      <c r="L6" s="591"/>
      <c r="M6" s="591"/>
      <c r="N6" s="591"/>
      <c r="O6" s="48" t="s">
        <v>136</v>
      </c>
    </row>
    <row r="7" spans="1:15" ht="17.25" customHeight="1">
      <c r="A7" s="45" t="s">
        <v>135</v>
      </c>
      <c r="B7" s="9" t="s">
        <v>31</v>
      </c>
      <c r="C7" s="592" t="s">
        <v>121</v>
      </c>
      <c r="D7" s="592"/>
      <c r="E7" s="592"/>
      <c r="F7" s="592"/>
      <c r="G7" s="592"/>
      <c r="H7" s="592"/>
      <c r="I7" s="592"/>
      <c r="J7" s="592"/>
      <c r="K7" s="592"/>
      <c r="L7" s="592"/>
      <c r="M7" s="592"/>
      <c r="N7" s="592"/>
      <c r="O7" s="49" t="s">
        <v>136</v>
      </c>
    </row>
    <row r="8" spans="1:15" ht="17.25" customHeight="1">
      <c r="B8" s="9" t="s">
        <v>32</v>
      </c>
      <c r="C8" s="10" t="s">
        <v>121</v>
      </c>
      <c r="D8" s="593" t="s">
        <v>33</v>
      </c>
      <c r="E8" s="593"/>
      <c r="F8" s="593"/>
      <c r="G8" s="593"/>
      <c r="H8" s="593"/>
      <c r="I8" s="593"/>
      <c r="J8" s="593"/>
      <c r="K8" s="593"/>
      <c r="L8" s="593"/>
      <c r="M8" s="593"/>
      <c r="N8" s="594"/>
      <c r="O8" s="113"/>
    </row>
    <row r="9" spans="1:15" ht="17.25" customHeight="1">
      <c r="B9" s="9" t="s">
        <v>34</v>
      </c>
      <c r="C9" s="595" t="s">
        <v>122</v>
      </c>
      <c r="D9" s="596"/>
      <c r="E9" s="596"/>
      <c r="F9" s="596"/>
      <c r="G9" s="596"/>
      <c r="H9" s="596"/>
      <c r="I9" s="596"/>
      <c r="J9" s="596"/>
      <c r="K9" s="596"/>
      <c r="L9" s="596"/>
      <c r="M9" s="596"/>
      <c r="N9" s="597"/>
      <c r="O9" s="114"/>
    </row>
    <row r="10" spans="1:15" ht="17.25" customHeight="1">
      <c r="B10" s="9" t="s">
        <v>35</v>
      </c>
      <c r="C10" s="572" t="s">
        <v>123</v>
      </c>
      <c r="D10" s="572"/>
      <c r="E10" s="572"/>
      <c r="F10" s="572"/>
      <c r="G10" s="572"/>
      <c r="H10" s="572"/>
      <c r="I10" s="572"/>
      <c r="J10" s="572"/>
      <c r="K10" s="572"/>
      <c r="L10" s="572"/>
      <c r="M10" s="572"/>
      <c r="N10" s="572"/>
      <c r="O10" s="115"/>
    </row>
    <row r="11" spans="1:15" ht="17.25" customHeight="1">
      <c r="B11" s="11" t="s">
        <v>36</v>
      </c>
      <c r="C11" s="573" t="s">
        <v>406</v>
      </c>
      <c r="D11" s="574"/>
      <c r="E11" s="574"/>
      <c r="F11" s="574"/>
      <c r="G11" s="574"/>
      <c r="H11" s="574"/>
      <c r="I11" s="574"/>
      <c r="J11" s="574"/>
      <c r="K11" s="574"/>
      <c r="L11" s="574"/>
      <c r="M11" s="574"/>
      <c r="N11" s="575"/>
      <c r="O11" s="115"/>
    </row>
    <row r="12" spans="1:15" ht="17.25" customHeight="1">
      <c r="B12" s="11" t="s">
        <v>37</v>
      </c>
      <c r="C12" s="576" t="s">
        <v>422</v>
      </c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578"/>
      <c r="O12" s="116"/>
    </row>
    <row r="13" spans="1:15" ht="17.25" customHeight="1">
      <c r="B13" s="559" t="s">
        <v>160</v>
      </c>
      <c r="C13" s="683" t="s">
        <v>39</v>
      </c>
      <c r="D13" s="12" t="s">
        <v>40</v>
      </c>
      <c r="E13" s="567" t="s">
        <v>121</v>
      </c>
      <c r="F13" s="567"/>
      <c r="G13" s="582" t="s">
        <v>151</v>
      </c>
      <c r="H13" s="582"/>
      <c r="I13" s="582"/>
      <c r="J13" s="582"/>
      <c r="K13" s="582"/>
      <c r="L13" s="582"/>
      <c r="M13" s="582"/>
      <c r="N13" s="582"/>
      <c r="O13" s="117"/>
    </row>
    <row r="14" spans="1:15" ht="17.25" customHeight="1">
      <c r="B14" s="568"/>
      <c r="C14" s="683"/>
      <c r="D14" s="13" t="s">
        <v>41</v>
      </c>
      <c r="E14" s="567" t="s">
        <v>121</v>
      </c>
      <c r="F14" s="567"/>
      <c r="G14" s="583" t="s">
        <v>42</v>
      </c>
      <c r="H14" s="583"/>
      <c r="I14" s="583"/>
      <c r="J14" s="583"/>
      <c r="K14" s="583"/>
      <c r="L14" s="583"/>
      <c r="M14" s="583"/>
      <c r="N14" s="583"/>
      <c r="O14" s="117"/>
    </row>
    <row r="15" spans="1:15" ht="17.25" customHeight="1">
      <c r="B15" s="568"/>
      <c r="C15" s="683"/>
      <c r="D15" s="13" t="s">
        <v>43</v>
      </c>
      <c r="E15" s="567" t="s">
        <v>121</v>
      </c>
      <c r="F15" s="567"/>
      <c r="G15" s="584" t="s">
        <v>170</v>
      </c>
      <c r="H15" s="585"/>
      <c r="I15" s="585"/>
      <c r="J15" s="585"/>
      <c r="K15" s="585"/>
      <c r="L15" s="585"/>
      <c r="M15" s="585"/>
      <c r="N15" s="586"/>
      <c r="O15" s="117"/>
    </row>
    <row r="16" spans="1:15" ht="17.25" customHeight="1">
      <c r="B16" s="568"/>
      <c r="C16" s="683"/>
      <c r="D16" s="13" t="s">
        <v>44</v>
      </c>
      <c r="E16" s="567" t="s">
        <v>121</v>
      </c>
      <c r="F16" s="567"/>
      <c r="G16" s="584" t="s">
        <v>200</v>
      </c>
      <c r="H16" s="585"/>
      <c r="I16" s="585"/>
      <c r="J16" s="585"/>
      <c r="K16" s="585"/>
      <c r="L16" s="585"/>
      <c r="M16" s="585"/>
      <c r="N16" s="586"/>
      <c r="O16" s="117"/>
    </row>
    <row r="17" spans="1:15" ht="17.25" customHeight="1">
      <c r="B17" s="568"/>
      <c r="C17" s="580" t="s">
        <v>45</v>
      </c>
      <c r="D17" s="13" t="s">
        <v>46</v>
      </c>
      <c r="E17" s="567" t="s">
        <v>121</v>
      </c>
      <c r="F17" s="567"/>
      <c r="G17" s="561" t="s">
        <v>47</v>
      </c>
      <c r="H17" s="562"/>
      <c r="I17" s="562"/>
      <c r="J17" s="562"/>
      <c r="K17" s="562"/>
      <c r="L17" s="562"/>
      <c r="M17" s="562"/>
      <c r="N17" s="563"/>
      <c r="O17" s="117"/>
    </row>
    <row r="18" spans="1:15" ht="17.25" customHeight="1">
      <c r="B18" s="568"/>
      <c r="C18" s="581"/>
      <c r="D18" s="13" t="s">
        <v>48</v>
      </c>
      <c r="E18" s="567" t="s">
        <v>121</v>
      </c>
      <c r="F18" s="567"/>
      <c r="G18" s="564"/>
      <c r="H18" s="565"/>
      <c r="I18" s="565"/>
      <c r="J18" s="565"/>
      <c r="K18" s="565"/>
      <c r="L18" s="565"/>
      <c r="M18" s="565"/>
      <c r="N18" s="566"/>
      <c r="O18" s="117"/>
    </row>
    <row r="19" spans="1:15" ht="17.25" customHeight="1">
      <c r="B19" s="568"/>
      <c r="C19" s="579" t="s">
        <v>49</v>
      </c>
      <c r="D19" s="13" t="s">
        <v>50</v>
      </c>
      <c r="E19" s="567" t="s">
        <v>121</v>
      </c>
      <c r="F19" s="567"/>
      <c r="G19" s="561" t="s">
        <v>423</v>
      </c>
      <c r="H19" s="562"/>
      <c r="I19" s="562"/>
      <c r="J19" s="562"/>
      <c r="K19" s="562"/>
      <c r="L19" s="562"/>
      <c r="M19" s="562"/>
      <c r="N19" s="563"/>
      <c r="O19" s="117"/>
    </row>
    <row r="20" spans="1:15" ht="17.25" customHeight="1">
      <c r="B20" s="560"/>
      <c r="C20" s="581"/>
      <c r="D20" s="13" t="s">
        <v>51</v>
      </c>
      <c r="E20" s="567" t="s">
        <v>121</v>
      </c>
      <c r="F20" s="567"/>
      <c r="G20" s="564"/>
      <c r="H20" s="565"/>
      <c r="I20" s="565"/>
      <c r="J20" s="565"/>
      <c r="K20" s="565"/>
      <c r="L20" s="565"/>
      <c r="M20" s="565"/>
      <c r="N20" s="566"/>
      <c r="O20" s="117"/>
    </row>
    <row r="21" spans="1:15" ht="17.25" customHeight="1">
      <c r="B21" s="559" t="s">
        <v>52</v>
      </c>
      <c r="C21" s="679"/>
      <c r="D21" s="679"/>
      <c r="E21" s="571" t="s">
        <v>408</v>
      </c>
      <c r="F21" s="571"/>
      <c r="G21" s="571"/>
      <c r="H21" s="571"/>
      <c r="I21" s="571" t="s">
        <v>409</v>
      </c>
      <c r="J21" s="571"/>
      <c r="K21" s="571"/>
      <c r="L21" s="571"/>
      <c r="M21" s="14" t="s">
        <v>55</v>
      </c>
      <c r="N21" s="14" t="s">
        <v>56</v>
      </c>
      <c r="O21" s="118"/>
    </row>
    <row r="22" spans="1:15" ht="17.25" customHeight="1">
      <c r="B22" s="568"/>
      <c r="C22" s="571" t="s">
        <v>57</v>
      </c>
      <c r="D22" s="571"/>
      <c r="E22" s="554" t="s">
        <v>124</v>
      </c>
      <c r="F22" s="555"/>
      <c r="G22" s="15" t="s">
        <v>125</v>
      </c>
      <c r="H22" s="16" t="s">
        <v>126</v>
      </c>
      <c r="I22" s="554" t="s">
        <v>124</v>
      </c>
      <c r="J22" s="555"/>
      <c r="K22" s="15" t="s">
        <v>125</v>
      </c>
      <c r="L22" s="16" t="s">
        <v>126</v>
      </c>
      <c r="M22" s="551" t="s">
        <v>410</v>
      </c>
      <c r="N22" s="551" t="s">
        <v>58</v>
      </c>
      <c r="O22" s="119"/>
    </row>
    <row r="23" spans="1:15" ht="17.25" customHeight="1">
      <c r="B23" s="560"/>
      <c r="C23" s="571" t="s">
        <v>59</v>
      </c>
      <c r="D23" s="571"/>
      <c r="E23" s="554" t="s">
        <v>124</v>
      </c>
      <c r="F23" s="555"/>
      <c r="G23" s="15" t="s">
        <v>125</v>
      </c>
      <c r="H23" s="16" t="s">
        <v>126</v>
      </c>
      <c r="I23" s="554" t="s">
        <v>124</v>
      </c>
      <c r="J23" s="555"/>
      <c r="K23" s="15" t="s">
        <v>125</v>
      </c>
      <c r="L23" s="16" t="s">
        <v>126</v>
      </c>
      <c r="M23" s="551"/>
      <c r="N23" s="551"/>
      <c r="O23" s="119"/>
    </row>
    <row r="24" spans="1:15" ht="17.25" customHeight="1">
      <c r="B24" s="559" t="s">
        <v>60</v>
      </c>
      <c r="C24" s="571" t="s">
        <v>61</v>
      </c>
      <c r="D24" s="571"/>
      <c r="E24" s="163" t="s">
        <v>62</v>
      </c>
      <c r="F24" s="163"/>
      <c r="G24" s="163"/>
      <c r="H24" s="163"/>
      <c r="I24" s="163"/>
      <c r="J24" s="163"/>
      <c r="K24" s="163"/>
      <c r="L24" s="163"/>
      <c r="M24" s="163"/>
      <c r="N24" s="163"/>
      <c r="O24" s="120"/>
    </row>
    <row r="25" spans="1:15" ht="17.25" customHeight="1">
      <c r="B25" s="560"/>
      <c r="C25" s="571" t="s">
        <v>63</v>
      </c>
      <c r="D25" s="571"/>
      <c r="E25" s="163" t="s">
        <v>128</v>
      </c>
      <c r="F25" s="164"/>
      <c r="G25" s="164"/>
      <c r="H25" s="164"/>
      <c r="I25" s="164"/>
      <c r="J25" s="164"/>
      <c r="K25" s="164"/>
      <c r="L25" s="164"/>
      <c r="M25" s="164"/>
      <c r="N25" s="164"/>
      <c r="O25" s="120"/>
    </row>
    <row r="26" spans="1:15" ht="17.25" customHeight="1">
      <c r="A26" s="45" t="s">
        <v>135</v>
      </c>
      <c r="O26" s="45" t="s">
        <v>136</v>
      </c>
    </row>
    <row r="27" spans="1:15" ht="17.25" customHeight="1">
      <c r="B27" s="626" t="s">
        <v>411</v>
      </c>
      <c r="C27" s="626"/>
      <c r="D27" s="626"/>
      <c r="E27" s="626"/>
      <c r="F27" s="626"/>
      <c r="G27" s="626"/>
      <c r="H27" s="626"/>
      <c r="I27" s="626"/>
      <c r="J27" s="626"/>
      <c r="K27" s="626"/>
      <c r="L27" s="626"/>
      <c r="M27" s="626"/>
      <c r="N27" s="626"/>
      <c r="O27" s="121"/>
    </row>
    <row r="28" spans="1:15" ht="17.25" customHeight="1">
      <c r="B28" s="556" t="s">
        <v>167</v>
      </c>
      <c r="C28" s="557"/>
      <c r="D28" s="557"/>
      <c r="E28" s="557"/>
      <c r="F28" s="557"/>
      <c r="G28" s="557"/>
      <c r="H28" s="557"/>
      <c r="I28" s="557"/>
      <c r="J28" s="557"/>
      <c r="K28" s="557"/>
      <c r="L28" s="557"/>
      <c r="M28" s="557"/>
      <c r="N28" s="558"/>
      <c r="O28" s="122"/>
    </row>
    <row r="29" spans="1:15" ht="17.25" customHeight="1">
      <c r="B29" s="667" t="s">
        <v>64</v>
      </c>
      <c r="C29" s="667"/>
      <c r="D29" s="667"/>
      <c r="E29" s="520" t="s">
        <v>412</v>
      </c>
      <c r="F29" s="521"/>
      <c r="G29" s="521"/>
      <c r="H29" s="522"/>
      <c r="I29" s="520" t="s">
        <v>413</v>
      </c>
      <c r="J29" s="521"/>
      <c r="K29" s="521"/>
      <c r="L29" s="522"/>
      <c r="M29" s="17" t="s">
        <v>55</v>
      </c>
      <c r="N29" s="17" t="s">
        <v>56</v>
      </c>
      <c r="O29" s="123"/>
    </row>
    <row r="30" spans="1:15" ht="17.25" customHeight="1">
      <c r="B30" s="526" t="s">
        <v>424</v>
      </c>
      <c r="C30" s="527"/>
      <c r="D30" s="528"/>
      <c r="E30" s="668">
        <v>0</v>
      </c>
      <c r="F30" s="668"/>
      <c r="G30" s="668"/>
      <c r="H30" s="669"/>
      <c r="I30" s="670">
        <v>0</v>
      </c>
      <c r="J30" s="671"/>
      <c r="K30" s="671"/>
      <c r="L30" s="672"/>
      <c r="M30" s="18"/>
      <c r="N30" s="19"/>
      <c r="O30" s="124"/>
    </row>
    <row r="31" spans="1:15" ht="17.25" customHeight="1">
      <c r="B31" s="526"/>
      <c r="C31" s="527"/>
      <c r="D31" s="528"/>
      <c r="E31" s="32" t="s">
        <v>66</v>
      </c>
      <c r="F31" s="673">
        <v>0</v>
      </c>
      <c r="G31" s="673"/>
      <c r="H31" s="674"/>
      <c r="I31" s="32" t="s">
        <v>66</v>
      </c>
      <c r="J31" s="512" t="s">
        <v>129</v>
      </c>
      <c r="K31" s="512"/>
      <c r="L31" s="513"/>
      <c r="M31" s="20" t="s">
        <v>67</v>
      </c>
      <c r="N31" s="20" t="s">
        <v>68</v>
      </c>
      <c r="O31" s="124"/>
    </row>
    <row r="32" spans="1:15" ht="17.25" customHeight="1">
      <c r="B32" s="526"/>
      <c r="C32" s="527"/>
      <c r="D32" s="528"/>
      <c r="E32" s="32" t="s">
        <v>69</v>
      </c>
      <c r="F32" s="540">
        <v>0</v>
      </c>
      <c r="G32" s="540"/>
      <c r="H32" s="541"/>
      <c r="I32" s="32" t="s">
        <v>69</v>
      </c>
      <c r="J32" s="512" t="s">
        <v>130</v>
      </c>
      <c r="K32" s="512"/>
      <c r="L32" s="513"/>
      <c r="M32" s="407" t="s">
        <v>70</v>
      </c>
      <c r="N32" s="407" t="s">
        <v>71</v>
      </c>
      <c r="O32" s="124"/>
    </row>
    <row r="33" spans="2:17" ht="17.25" customHeight="1">
      <c r="B33" s="526"/>
      <c r="C33" s="527"/>
      <c r="D33" s="528"/>
      <c r="E33" s="32" t="s">
        <v>72</v>
      </c>
      <c r="F33" s="514">
        <v>0</v>
      </c>
      <c r="G33" s="514"/>
      <c r="H33" s="515"/>
      <c r="I33" s="32" t="s">
        <v>72</v>
      </c>
      <c r="J33" s="379">
        <v>0</v>
      </c>
      <c r="K33" s="379"/>
      <c r="L33" s="380"/>
      <c r="M33" s="407"/>
      <c r="N33" s="427"/>
      <c r="O33" s="124"/>
    </row>
    <row r="34" spans="2:17" ht="17.25" customHeight="1">
      <c r="B34" s="526"/>
      <c r="C34" s="527"/>
      <c r="D34" s="528"/>
      <c r="E34" s="32" t="s">
        <v>73</v>
      </c>
      <c r="F34" s="516">
        <v>0</v>
      </c>
      <c r="G34" s="516"/>
      <c r="H34" s="517"/>
      <c r="I34" s="32" t="s">
        <v>73</v>
      </c>
      <c r="J34" s="519">
        <v>0</v>
      </c>
      <c r="K34" s="666"/>
      <c r="L34" s="666"/>
      <c r="M34" s="357" t="s">
        <v>74</v>
      </c>
      <c r="N34" s="357" t="s">
        <v>75</v>
      </c>
      <c r="O34" s="124"/>
    </row>
    <row r="35" spans="2:17" ht="17.25" customHeight="1">
      <c r="B35" s="526"/>
      <c r="C35" s="527"/>
      <c r="D35" s="528"/>
      <c r="E35" s="32" t="s">
        <v>76</v>
      </c>
      <c r="F35" s="487">
        <v>0</v>
      </c>
      <c r="G35" s="487"/>
      <c r="H35" s="488"/>
      <c r="I35" s="542" t="s">
        <v>169</v>
      </c>
      <c r="J35" s="543"/>
      <c r="K35" s="543"/>
      <c r="L35" s="544"/>
      <c r="M35" s="357"/>
      <c r="N35" s="407"/>
      <c r="O35" s="124"/>
    </row>
    <row r="36" spans="2:17" ht="17.25" customHeight="1">
      <c r="B36" s="526"/>
      <c r="C36" s="527"/>
      <c r="D36" s="528"/>
      <c r="E36" s="32" t="s">
        <v>77</v>
      </c>
      <c r="F36" s="508">
        <v>0</v>
      </c>
      <c r="G36" s="508"/>
      <c r="H36" s="509"/>
      <c r="I36" s="545"/>
      <c r="J36" s="546"/>
      <c r="K36" s="546"/>
      <c r="L36" s="547"/>
      <c r="M36" s="357"/>
      <c r="N36" s="407"/>
      <c r="O36" s="124"/>
    </row>
    <row r="37" spans="2:17" ht="17.25" customHeight="1">
      <c r="B37" s="526"/>
      <c r="C37" s="527"/>
      <c r="D37" s="528"/>
      <c r="E37" s="32" t="s">
        <v>78</v>
      </c>
      <c r="F37" s="510">
        <v>0</v>
      </c>
      <c r="G37" s="510"/>
      <c r="H37" s="511"/>
      <c r="I37" s="548"/>
      <c r="J37" s="549"/>
      <c r="K37" s="549"/>
      <c r="L37" s="550"/>
      <c r="M37" s="21"/>
      <c r="N37" s="22"/>
      <c r="O37" s="124"/>
    </row>
    <row r="38" spans="2:17" ht="17.25" customHeight="1">
      <c r="B38" s="489" t="s">
        <v>425</v>
      </c>
      <c r="C38" s="490"/>
      <c r="D38" s="491"/>
      <c r="E38" s="495">
        <v>0</v>
      </c>
      <c r="F38" s="496"/>
      <c r="G38" s="496"/>
      <c r="H38" s="497"/>
      <c r="I38" s="767" t="s">
        <v>426</v>
      </c>
      <c r="J38" s="768"/>
      <c r="K38" s="768"/>
      <c r="L38" s="769"/>
      <c r="M38" s="407" t="s">
        <v>172</v>
      </c>
      <c r="N38" s="467" t="s">
        <v>80</v>
      </c>
      <c r="O38" s="124"/>
    </row>
    <row r="39" spans="2:17" ht="17.25" customHeight="1">
      <c r="B39" s="492"/>
      <c r="C39" s="493"/>
      <c r="D39" s="494"/>
      <c r="E39" s="33" t="s">
        <v>66</v>
      </c>
      <c r="F39" s="501">
        <v>0</v>
      </c>
      <c r="G39" s="501"/>
      <c r="H39" s="502"/>
      <c r="I39" s="466" t="s">
        <v>427</v>
      </c>
      <c r="J39" s="466"/>
      <c r="K39" s="466"/>
      <c r="L39" s="466"/>
      <c r="M39" s="407"/>
      <c r="N39" s="467"/>
      <c r="O39" s="124"/>
    </row>
    <row r="40" spans="2:17" ht="17.25" customHeight="1">
      <c r="B40" s="492"/>
      <c r="C40" s="493"/>
      <c r="D40" s="494"/>
      <c r="E40" s="33" t="s">
        <v>69</v>
      </c>
      <c r="F40" s="506" t="s">
        <v>428</v>
      </c>
      <c r="G40" s="506"/>
      <c r="H40" s="507"/>
      <c r="I40" s="466" t="s">
        <v>429</v>
      </c>
      <c r="J40" s="466"/>
      <c r="K40" s="466"/>
      <c r="L40" s="466"/>
      <c r="M40" s="407"/>
      <c r="N40" s="467"/>
      <c r="O40" s="124"/>
    </row>
    <row r="41" spans="2:17" ht="17.25" customHeight="1">
      <c r="B41" s="458" t="s">
        <v>430</v>
      </c>
      <c r="C41" s="459"/>
      <c r="D41" s="460"/>
      <c r="E41" s="33" t="s">
        <v>72</v>
      </c>
      <c r="F41" s="464" t="s">
        <v>431</v>
      </c>
      <c r="G41" s="464"/>
      <c r="H41" s="465"/>
      <c r="I41" s="466" t="s">
        <v>432</v>
      </c>
      <c r="J41" s="466"/>
      <c r="K41" s="466"/>
      <c r="L41" s="466"/>
      <c r="M41" s="23"/>
      <c r="N41" s="23"/>
      <c r="O41" s="124"/>
      <c r="Q41" s="8" t="s">
        <v>83</v>
      </c>
    </row>
    <row r="42" spans="2:17" ht="17.25" customHeight="1">
      <c r="B42" s="458"/>
      <c r="C42" s="459"/>
      <c r="D42" s="460"/>
      <c r="E42" s="33" t="s">
        <v>73</v>
      </c>
      <c r="F42" s="436" t="s">
        <v>433</v>
      </c>
      <c r="G42" s="436"/>
      <c r="H42" s="437"/>
      <c r="I42" s="603"/>
      <c r="J42" s="603"/>
      <c r="K42" s="603"/>
      <c r="L42" s="603"/>
      <c r="M42" s="407" t="s">
        <v>171</v>
      </c>
      <c r="N42" s="23"/>
      <c r="O42" s="124"/>
    </row>
    <row r="43" spans="2:17" ht="17.25" customHeight="1">
      <c r="B43" s="461"/>
      <c r="C43" s="462"/>
      <c r="D43" s="463"/>
      <c r="E43" s="33" t="s">
        <v>76</v>
      </c>
      <c r="F43" s="441">
        <v>0</v>
      </c>
      <c r="G43" s="441"/>
      <c r="H43" s="442"/>
      <c r="I43" s="603"/>
      <c r="J43" s="603"/>
      <c r="K43" s="603"/>
      <c r="L43" s="603"/>
      <c r="M43" s="407"/>
      <c r="N43" s="23"/>
      <c r="O43" s="124"/>
    </row>
    <row r="44" spans="2:17" ht="17.25" customHeight="1">
      <c r="B44" s="415" t="s">
        <v>434</v>
      </c>
      <c r="C44" s="416"/>
      <c r="D44" s="417"/>
      <c r="E44" s="421">
        <v>0</v>
      </c>
      <c r="F44" s="422"/>
      <c r="G44" s="422"/>
      <c r="H44" s="423"/>
      <c r="I44" s="424">
        <v>0</v>
      </c>
      <c r="J44" s="425"/>
      <c r="K44" s="425"/>
      <c r="L44" s="426"/>
      <c r="M44" s="407"/>
      <c r="N44" s="23"/>
      <c r="O44" s="124"/>
    </row>
    <row r="45" spans="2:17" ht="17.25" customHeight="1">
      <c r="B45" s="418"/>
      <c r="C45" s="419"/>
      <c r="D45" s="420"/>
      <c r="E45" s="34" t="s">
        <v>66</v>
      </c>
      <c r="F45" s="428">
        <v>0</v>
      </c>
      <c r="G45" s="428"/>
      <c r="H45" s="429"/>
      <c r="I45" s="34" t="s">
        <v>66</v>
      </c>
      <c r="J45" s="431">
        <v>0</v>
      </c>
      <c r="K45" s="634"/>
      <c r="L45" s="634"/>
      <c r="M45" s="24" t="s">
        <v>85</v>
      </c>
      <c r="N45" s="25" t="s">
        <v>85</v>
      </c>
      <c r="O45" s="124"/>
    </row>
    <row r="46" spans="2:17" ht="17.25" customHeight="1">
      <c r="B46" s="418"/>
      <c r="C46" s="419"/>
      <c r="D46" s="420"/>
      <c r="E46" s="34" t="s">
        <v>69</v>
      </c>
      <c r="F46" s="432">
        <v>0</v>
      </c>
      <c r="G46" s="432"/>
      <c r="H46" s="433"/>
      <c r="I46" s="34" t="s">
        <v>69</v>
      </c>
      <c r="J46" s="434">
        <v>0</v>
      </c>
      <c r="K46" s="434"/>
      <c r="L46" s="435"/>
      <c r="M46" s="20" t="s">
        <v>86</v>
      </c>
      <c r="N46" s="20" t="s">
        <v>87</v>
      </c>
      <c r="O46" s="124"/>
    </row>
    <row r="47" spans="2:17" ht="17.25" customHeight="1">
      <c r="B47" s="390" t="s">
        <v>81</v>
      </c>
      <c r="C47" s="391"/>
      <c r="D47" s="392"/>
      <c r="E47" s="34" t="s">
        <v>72</v>
      </c>
      <c r="F47" s="396">
        <v>0</v>
      </c>
      <c r="G47" s="396"/>
      <c r="H47" s="397"/>
      <c r="I47" s="401" t="s">
        <v>82</v>
      </c>
      <c r="J47" s="402"/>
      <c r="K47" s="402"/>
      <c r="L47" s="403"/>
      <c r="M47" s="407" t="s">
        <v>174</v>
      </c>
      <c r="N47" s="407" t="s">
        <v>88</v>
      </c>
      <c r="O47" s="124"/>
    </row>
    <row r="48" spans="2:17" ht="17.25" customHeight="1">
      <c r="B48" s="390"/>
      <c r="C48" s="391"/>
      <c r="D48" s="392"/>
      <c r="E48" s="34" t="s">
        <v>73</v>
      </c>
      <c r="F48" s="409">
        <v>0</v>
      </c>
      <c r="G48" s="409"/>
      <c r="H48" s="410"/>
      <c r="I48" s="401"/>
      <c r="J48" s="402"/>
      <c r="K48" s="402"/>
      <c r="L48" s="403"/>
      <c r="M48" s="407"/>
      <c r="N48" s="407"/>
      <c r="O48" s="124"/>
    </row>
    <row r="49" spans="1:15" ht="17.25" customHeight="1">
      <c r="B49" s="390"/>
      <c r="C49" s="391"/>
      <c r="D49" s="392"/>
      <c r="E49" s="34" t="s">
        <v>76</v>
      </c>
      <c r="F49" s="411">
        <v>0</v>
      </c>
      <c r="G49" s="411"/>
      <c r="H49" s="412"/>
      <c r="I49" s="401"/>
      <c r="J49" s="402"/>
      <c r="K49" s="402"/>
      <c r="L49" s="403"/>
      <c r="M49" s="407"/>
      <c r="N49" s="407"/>
      <c r="O49" s="124"/>
    </row>
    <row r="50" spans="1:15" ht="17.25" customHeight="1">
      <c r="B50" s="393"/>
      <c r="C50" s="394"/>
      <c r="D50" s="395"/>
      <c r="E50" s="34" t="s">
        <v>77</v>
      </c>
      <c r="F50" s="413">
        <v>0</v>
      </c>
      <c r="G50" s="413"/>
      <c r="H50" s="414"/>
      <c r="I50" s="404"/>
      <c r="J50" s="405"/>
      <c r="K50" s="405"/>
      <c r="L50" s="406"/>
      <c r="M50" s="357" t="s">
        <v>419</v>
      </c>
      <c r="N50" s="357" t="s">
        <v>90</v>
      </c>
      <c r="O50" s="124"/>
    </row>
    <row r="51" spans="1:15" ht="17.25" customHeight="1">
      <c r="B51" s="443" t="s">
        <v>91</v>
      </c>
      <c r="C51" s="444"/>
      <c r="D51" s="445"/>
      <c r="E51" s="452">
        <v>0</v>
      </c>
      <c r="F51" s="453"/>
      <c r="G51" s="453"/>
      <c r="H51" s="454"/>
      <c r="I51" s="455">
        <v>0</v>
      </c>
      <c r="J51" s="456"/>
      <c r="K51" s="456"/>
      <c r="L51" s="457"/>
      <c r="M51" s="427"/>
      <c r="N51" s="357"/>
      <c r="O51" s="124"/>
    </row>
    <row r="52" spans="1:15" ht="17.25" customHeight="1">
      <c r="B52" s="446"/>
      <c r="C52" s="447"/>
      <c r="D52" s="448"/>
      <c r="E52" s="35" t="s">
        <v>66</v>
      </c>
      <c r="F52" s="468">
        <v>0</v>
      </c>
      <c r="G52" s="468"/>
      <c r="H52" s="469"/>
      <c r="I52" s="33" t="s">
        <v>66</v>
      </c>
      <c r="J52" s="471">
        <v>0</v>
      </c>
      <c r="K52" s="646"/>
      <c r="L52" s="646"/>
      <c r="M52" s="24"/>
      <c r="N52" s="21"/>
      <c r="O52" s="124"/>
    </row>
    <row r="53" spans="1:15" ht="17.25" customHeight="1">
      <c r="B53" s="446"/>
      <c r="C53" s="447"/>
      <c r="D53" s="448"/>
      <c r="E53" s="35" t="s">
        <v>69</v>
      </c>
      <c r="F53" s="472">
        <v>0</v>
      </c>
      <c r="G53" s="472"/>
      <c r="H53" s="473"/>
      <c r="I53" s="474" t="s">
        <v>418</v>
      </c>
      <c r="J53" s="659"/>
      <c r="K53" s="659"/>
      <c r="L53" s="660"/>
      <c r="M53" s="407" t="s">
        <v>186</v>
      </c>
      <c r="N53" s="408" t="s">
        <v>92</v>
      </c>
      <c r="O53" s="124"/>
    </row>
    <row r="54" spans="1:15" ht="17.25" customHeight="1">
      <c r="B54" s="446"/>
      <c r="C54" s="447"/>
      <c r="D54" s="448"/>
      <c r="E54" s="35" t="s">
        <v>72</v>
      </c>
      <c r="F54" s="483">
        <v>0</v>
      </c>
      <c r="G54" s="483"/>
      <c r="H54" s="484"/>
      <c r="I54" s="477"/>
      <c r="J54" s="661"/>
      <c r="K54" s="661"/>
      <c r="L54" s="662"/>
      <c r="M54" s="407"/>
      <c r="N54" s="408"/>
      <c r="O54" s="124"/>
    </row>
    <row r="55" spans="1:15" ht="17.25" customHeight="1">
      <c r="B55" s="446"/>
      <c r="C55" s="447"/>
      <c r="D55" s="448"/>
      <c r="E55" s="35" t="s">
        <v>73</v>
      </c>
      <c r="F55" s="436">
        <v>0</v>
      </c>
      <c r="G55" s="436"/>
      <c r="H55" s="437"/>
      <c r="I55" s="477"/>
      <c r="J55" s="661"/>
      <c r="K55" s="661"/>
      <c r="L55" s="662"/>
      <c r="M55" s="357" t="s">
        <v>187</v>
      </c>
      <c r="N55" s="26"/>
      <c r="O55" s="124"/>
    </row>
    <row r="56" spans="1:15" ht="17.25" customHeight="1">
      <c r="B56" s="449"/>
      <c r="C56" s="450"/>
      <c r="D56" s="451"/>
      <c r="E56" s="35" t="s">
        <v>76</v>
      </c>
      <c r="F56" s="485">
        <v>0</v>
      </c>
      <c r="G56" s="485"/>
      <c r="H56" s="486"/>
      <c r="I56" s="663"/>
      <c r="J56" s="664"/>
      <c r="K56" s="664"/>
      <c r="L56" s="665"/>
      <c r="M56" s="427"/>
      <c r="N56" s="26"/>
      <c r="O56" s="124"/>
    </row>
    <row r="57" spans="1:15" ht="17.25" customHeight="1">
      <c r="B57" s="367" t="s">
        <v>93</v>
      </c>
      <c r="C57" s="368"/>
      <c r="D57" s="369"/>
      <c r="E57" s="373">
        <v>0</v>
      </c>
      <c r="F57" s="374"/>
      <c r="G57" s="374"/>
      <c r="H57" s="375"/>
      <c r="I57" s="376">
        <v>0</v>
      </c>
      <c r="J57" s="377"/>
      <c r="K57" s="377"/>
      <c r="L57" s="378"/>
      <c r="M57" s="23"/>
      <c r="N57" s="22"/>
      <c r="O57" s="124"/>
    </row>
    <row r="58" spans="1:15" ht="17.25" customHeight="1">
      <c r="B58" s="370"/>
      <c r="C58" s="371"/>
      <c r="D58" s="372"/>
      <c r="E58" s="341" t="s">
        <v>182</v>
      </c>
      <c r="F58" s="342"/>
      <c r="G58" s="342"/>
      <c r="H58" s="343"/>
      <c r="I58" s="40" t="s">
        <v>66</v>
      </c>
      <c r="J58" s="379">
        <v>0</v>
      </c>
      <c r="K58" s="379"/>
      <c r="L58" s="380"/>
      <c r="M58" s="23" t="s">
        <v>94</v>
      </c>
      <c r="N58" s="26"/>
      <c r="O58" s="124"/>
    </row>
    <row r="59" spans="1:15" ht="17.25" customHeight="1">
      <c r="B59" s="381" t="s">
        <v>181</v>
      </c>
      <c r="C59" s="382"/>
      <c r="D59" s="383"/>
      <c r="E59" s="344"/>
      <c r="F59" s="345"/>
      <c r="G59" s="345"/>
      <c r="H59" s="346"/>
      <c r="I59" s="62" t="s">
        <v>69</v>
      </c>
      <c r="J59" s="388" t="s">
        <v>180</v>
      </c>
      <c r="K59" s="388"/>
      <c r="L59" s="389"/>
      <c r="M59" s="357" t="s">
        <v>95</v>
      </c>
      <c r="N59" s="26"/>
      <c r="O59" s="124"/>
    </row>
    <row r="60" spans="1:15" ht="17.25" customHeight="1">
      <c r="B60" s="384"/>
      <c r="C60" s="382"/>
      <c r="D60" s="383"/>
      <c r="E60" s="347" t="s">
        <v>183</v>
      </c>
      <c r="F60" s="348"/>
      <c r="G60" s="348"/>
      <c r="H60" s="349"/>
      <c r="I60" s="63"/>
      <c r="J60" s="350" t="s">
        <v>185</v>
      </c>
      <c r="K60" s="350"/>
      <c r="L60" s="351"/>
      <c r="M60" s="427"/>
      <c r="N60" s="22"/>
      <c r="O60" s="124"/>
    </row>
    <row r="61" spans="1:15" ht="17.25" customHeight="1">
      <c r="B61" s="385"/>
      <c r="C61" s="386"/>
      <c r="D61" s="387"/>
      <c r="E61" s="347" t="s">
        <v>184</v>
      </c>
      <c r="F61" s="348"/>
      <c r="G61" s="348"/>
      <c r="H61" s="349"/>
      <c r="I61" s="64"/>
      <c r="J61" s="352" t="s">
        <v>435</v>
      </c>
      <c r="K61" s="352"/>
      <c r="L61" s="353"/>
      <c r="M61" s="27"/>
      <c r="N61" s="27"/>
      <c r="O61" s="124"/>
    </row>
    <row r="62" spans="1:15" ht="17.25" customHeight="1">
      <c r="B62" s="358" t="s">
        <v>96</v>
      </c>
      <c r="C62" s="359"/>
      <c r="D62" s="360"/>
      <c r="E62" s="361">
        <v>0</v>
      </c>
      <c r="F62" s="362"/>
      <c r="G62" s="362"/>
      <c r="H62" s="363"/>
      <c r="I62" s="364">
        <v>0</v>
      </c>
      <c r="J62" s="365"/>
      <c r="K62" s="365"/>
      <c r="L62" s="366"/>
      <c r="M62" s="28" t="s">
        <v>97</v>
      </c>
      <c r="N62" s="28" t="s">
        <v>98</v>
      </c>
    </row>
    <row r="63" spans="1:15" ht="17.25" customHeight="1">
      <c r="A63" s="45" t="s">
        <v>135</v>
      </c>
      <c r="O63" s="45" t="s">
        <v>136</v>
      </c>
    </row>
    <row r="64" spans="1:15" ht="17.25" customHeight="1">
      <c r="B64" s="354" t="s">
        <v>420</v>
      </c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  <c r="N64" s="356"/>
    </row>
    <row r="65" spans="2:14" ht="17.25" customHeight="1">
      <c r="B65" s="310" t="s">
        <v>167</v>
      </c>
      <c r="C65" s="311"/>
      <c r="D65" s="311"/>
      <c r="E65" s="311"/>
      <c r="F65" s="311"/>
      <c r="G65" s="311"/>
      <c r="H65" s="311"/>
      <c r="I65" s="311"/>
      <c r="J65" s="311"/>
      <c r="K65" s="311"/>
      <c r="L65" s="311"/>
      <c r="M65" s="311"/>
      <c r="N65" s="312"/>
    </row>
    <row r="66" spans="2:14" ht="17.25" customHeight="1">
      <c r="B66" s="602" t="s">
        <v>64</v>
      </c>
      <c r="C66" s="602"/>
      <c r="D66" s="602"/>
      <c r="E66" s="313" t="s">
        <v>53</v>
      </c>
      <c r="F66" s="314"/>
      <c r="G66" s="314"/>
      <c r="H66" s="315"/>
      <c r="I66" s="41"/>
      <c r="J66" s="315" t="s">
        <v>54</v>
      </c>
      <c r="K66" s="602"/>
      <c r="L66" s="602"/>
      <c r="M66" s="30" t="s">
        <v>55</v>
      </c>
      <c r="N66" s="30" t="s">
        <v>56</v>
      </c>
    </row>
    <row r="67" spans="2:14" ht="17.25" customHeight="1">
      <c r="B67" s="629" t="s">
        <v>99</v>
      </c>
      <c r="C67" s="629"/>
      <c r="D67" s="629"/>
      <c r="E67" s="325">
        <v>0</v>
      </c>
      <c r="F67" s="326"/>
      <c r="G67" s="326"/>
      <c r="H67" s="327"/>
      <c r="I67" s="328">
        <v>0</v>
      </c>
      <c r="J67" s="329"/>
      <c r="K67" s="329"/>
      <c r="L67" s="330"/>
      <c r="M67" s="630" t="s">
        <v>100</v>
      </c>
      <c r="N67" s="633" t="s">
        <v>100</v>
      </c>
    </row>
    <row r="68" spans="2:14" ht="17.25" customHeight="1">
      <c r="B68" s="629"/>
      <c r="C68" s="629"/>
      <c r="D68" s="629"/>
      <c r="E68" s="36" t="s">
        <v>66</v>
      </c>
      <c r="F68" s="300">
        <v>0</v>
      </c>
      <c r="G68" s="300"/>
      <c r="H68" s="301"/>
      <c r="I68" s="36" t="s">
        <v>66</v>
      </c>
      <c r="J68" s="302" t="s">
        <v>129</v>
      </c>
      <c r="K68" s="302"/>
      <c r="L68" s="303"/>
      <c r="M68" s="631"/>
      <c r="N68" s="633"/>
    </row>
    <row r="69" spans="2:14" ht="17.25" customHeight="1">
      <c r="B69" s="629"/>
      <c r="C69" s="629"/>
      <c r="D69" s="629"/>
      <c r="E69" s="36" t="s">
        <v>69</v>
      </c>
      <c r="F69" s="304">
        <v>0</v>
      </c>
      <c r="G69" s="304"/>
      <c r="H69" s="305"/>
      <c r="I69" s="36" t="s">
        <v>69</v>
      </c>
      <c r="J69" s="302" t="s">
        <v>130</v>
      </c>
      <c r="K69" s="302"/>
      <c r="L69" s="303"/>
      <c r="M69" s="631"/>
      <c r="N69" s="633"/>
    </row>
    <row r="70" spans="2:14" ht="17.25" customHeight="1">
      <c r="B70" s="629"/>
      <c r="C70" s="629"/>
      <c r="D70" s="629"/>
      <c r="E70" s="36" t="s">
        <v>72</v>
      </c>
      <c r="F70" s="306">
        <v>0</v>
      </c>
      <c r="G70" s="306"/>
      <c r="H70" s="307"/>
      <c r="I70" s="36" t="s">
        <v>72</v>
      </c>
      <c r="J70" s="308">
        <v>0</v>
      </c>
      <c r="K70" s="308"/>
      <c r="L70" s="309"/>
      <c r="M70" s="631"/>
      <c r="N70" s="633"/>
    </row>
    <row r="71" spans="2:14" ht="17.25" customHeight="1">
      <c r="B71" s="629"/>
      <c r="C71" s="629"/>
      <c r="D71" s="629"/>
      <c r="E71" s="36" t="s">
        <v>73</v>
      </c>
      <c r="F71" s="337">
        <v>0</v>
      </c>
      <c r="G71" s="337"/>
      <c r="H71" s="338"/>
      <c r="I71" s="36" t="s">
        <v>73</v>
      </c>
      <c r="J71" s="339">
        <v>0</v>
      </c>
      <c r="K71" s="339"/>
      <c r="L71" s="340"/>
      <c r="M71" s="631"/>
      <c r="N71" s="633"/>
    </row>
    <row r="72" spans="2:14" ht="17.25" customHeight="1">
      <c r="B72" s="629"/>
      <c r="C72" s="629"/>
      <c r="D72" s="629"/>
      <c r="E72" s="36" t="s">
        <v>76</v>
      </c>
      <c r="F72" s="285">
        <v>0</v>
      </c>
      <c r="G72" s="285"/>
      <c r="H72" s="286"/>
      <c r="I72" s="287" t="s">
        <v>101</v>
      </c>
      <c r="J72" s="288"/>
      <c r="K72" s="288"/>
      <c r="L72" s="289"/>
      <c r="M72" s="631"/>
      <c r="N72" s="633"/>
    </row>
    <row r="73" spans="2:14" ht="17.25" customHeight="1">
      <c r="B73" s="629"/>
      <c r="C73" s="629"/>
      <c r="D73" s="629"/>
      <c r="E73" s="36" t="s">
        <v>77</v>
      </c>
      <c r="F73" s="296">
        <v>0</v>
      </c>
      <c r="G73" s="296"/>
      <c r="H73" s="297"/>
      <c r="I73" s="290"/>
      <c r="J73" s="291"/>
      <c r="K73" s="291"/>
      <c r="L73" s="292"/>
      <c r="M73" s="631"/>
      <c r="N73" s="633"/>
    </row>
    <row r="74" spans="2:14" ht="17.25" customHeight="1">
      <c r="B74" s="629"/>
      <c r="C74" s="629"/>
      <c r="D74" s="629"/>
      <c r="E74" s="36" t="s">
        <v>78</v>
      </c>
      <c r="F74" s="298">
        <v>0</v>
      </c>
      <c r="G74" s="298"/>
      <c r="H74" s="299"/>
      <c r="I74" s="293"/>
      <c r="J74" s="294"/>
      <c r="K74" s="294"/>
      <c r="L74" s="295"/>
      <c r="M74" s="631"/>
      <c r="N74" s="633"/>
    </row>
    <row r="75" spans="2:14" ht="17.25" customHeight="1">
      <c r="B75" s="628" t="s">
        <v>102</v>
      </c>
      <c r="C75" s="628"/>
      <c r="D75" s="628"/>
      <c r="E75" s="258">
        <v>0</v>
      </c>
      <c r="F75" s="259"/>
      <c r="G75" s="259"/>
      <c r="H75" s="260"/>
      <c r="I75" s="261">
        <v>0</v>
      </c>
      <c r="J75" s="262"/>
      <c r="K75" s="262"/>
      <c r="L75" s="263"/>
      <c r="M75" s="631"/>
      <c r="N75" s="633"/>
    </row>
    <row r="76" spans="2:14" ht="17.25" customHeight="1">
      <c r="B76" s="628"/>
      <c r="C76" s="628"/>
      <c r="D76" s="628"/>
      <c r="E76" s="37" t="s">
        <v>66</v>
      </c>
      <c r="F76" s="264">
        <v>0</v>
      </c>
      <c r="G76" s="264"/>
      <c r="H76" s="265"/>
      <c r="I76" s="37" t="s">
        <v>66</v>
      </c>
      <c r="J76" s="266">
        <v>0</v>
      </c>
      <c r="K76" s="266"/>
      <c r="L76" s="267"/>
      <c r="M76" s="631"/>
      <c r="N76" s="633"/>
    </row>
    <row r="77" spans="2:14" ht="17.25" customHeight="1">
      <c r="B77" s="628"/>
      <c r="C77" s="628"/>
      <c r="D77" s="628"/>
      <c r="E77" s="37" t="s">
        <v>69</v>
      </c>
      <c r="F77" s="268">
        <v>0</v>
      </c>
      <c r="G77" s="268"/>
      <c r="H77" s="269"/>
      <c r="I77" s="270" t="s">
        <v>103</v>
      </c>
      <c r="J77" s="271"/>
      <c r="K77" s="271"/>
      <c r="L77" s="272"/>
      <c r="M77" s="631"/>
      <c r="N77" s="633"/>
    </row>
    <row r="78" spans="2:14" ht="17.25" customHeight="1">
      <c r="B78" s="628"/>
      <c r="C78" s="628"/>
      <c r="D78" s="628"/>
      <c r="E78" s="37" t="s">
        <v>72</v>
      </c>
      <c r="F78" s="279">
        <v>0</v>
      </c>
      <c r="G78" s="279"/>
      <c r="H78" s="280"/>
      <c r="I78" s="273"/>
      <c r="J78" s="274"/>
      <c r="K78" s="274"/>
      <c r="L78" s="275"/>
      <c r="M78" s="631"/>
      <c r="N78" s="633"/>
    </row>
    <row r="79" spans="2:14" ht="17.25" customHeight="1">
      <c r="B79" s="628"/>
      <c r="C79" s="628"/>
      <c r="D79" s="628"/>
      <c r="E79" s="37" t="s">
        <v>73</v>
      </c>
      <c r="F79" s="281">
        <v>0</v>
      </c>
      <c r="G79" s="281"/>
      <c r="H79" s="282"/>
      <c r="I79" s="273"/>
      <c r="J79" s="274"/>
      <c r="K79" s="274"/>
      <c r="L79" s="275"/>
      <c r="M79" s="631"/>
      <c r="N79" s="633"/>
    </row>
    <row r="80" spans="2:14" ht="17.25" customHeight="1">
      <c r="B80" s="628"/>
      <c r="C80" s="628"/>
      <c r="D80" s="628"/>
      <c r="E80" s="37" t="s">
        <v>76</v>
      </c>
      <c r="F80" s="283">
        <v>0</v>
      </c>
      <c r="G80" s="283"/>
      <c r="H80" s="284"/>
      <c r="I80" s="276"/>
      <c r="J80" s="277"/>
      <c r="K80" s="277"/>
      <c r="L80" s="278"/>
      <c r="M80" s="631"/>
      <c r="N80" s="633"/>
    </row>
    <row r="81" spans="1:15" ht="17.25" customHeight="1">
      <c r="B81" s="627" t="s">
        <v>104</v>
      </c>
      <c r="C81" s="627"/>
      <c r="D81" s="627"/>
      <c r="E81" s="222">
        <v>0</v>
      </c>
      <c r="F81" s="223"/>
      <c r="G81" s="223"/>
      <c r="H81" s="224"/>
      <c r="I81" s="225">
        <v>0</v>
      </c>
      <c r="J81" s="226"/>
      <c r="K81" s="226"/>
      <c r="L81" s="227"/>
      <c r="M81" s="631"/>
      <c r="N81" s="633"/>
    </row>
    <row r="82" spans="1:15" ht="17.25" customHeight="1">
      <c r="B82" s="627"/>
      <c r="C82" s="627"/>
      <c r="D82" s="627"/>
      <c r="E82" s="38" t="s">
        <v>66</v>
      </c>
      <c r="F82" s="228">
        <v>0</v>
      </c>
      <c r="G82" s="228"/>
      <c r="H82" s="229"/>
      <c r="I82" s="42" t="s">
        <v>66</v>
      </c>
      <c r="J82" s="230">
        <v>0</v>
      </c>
      <c r="K82" s="230"/>
      <c r="L82" s="231"/>
      <c r="M82" s="631"/>
      <c r="N82" s="633"/>
    </row>
    <row r="83" spans="1:15" ht="17.25" customHeight="1">
      <c r="B83" s="627"/>
      <c r="C83" s="627"/>
      <c r="D83" s="627"/>
      <c r="E83" s="38" t="s">
        <v>69</v>
      </c>
      <c r="F83" s="232">
        <v>0</v>
      </c>
      <c r="G83" s="232"/>
      <c r="H83" s="233"/>
      <c r="I83" s="234" t="s">
        <v>105</v>
      </c>
      <c r="J83" s="235"/>
      <c r="K83" s="235"/>
      <c r="L83" s="236"/>
      <c r="M83" s="631"/>
      <c r="N83" s="633"/>
    </row>
    <row r="84" spans="1:15" ht="17.25" customHeight="1">
      <c r="B84" s="627"/>
      <c r="C84" s="627"/>
      <c r="D84" s="627"/>
      <c r="E84" s="38" t="s">
        <v>72</v>
      </c>
      <c r="F84" s="243">
        <v>0</v>
      </c>
      <c r="G84" s="243"/>
      <c r="H84" s="244"/>
      <c r="I84" s="237"/>
      <c r="J84" s="238"/>
      <c r="K84" s="238"/>
      <c r="L84" s="239"/>
      <c r="M84" s="631"/>
      <c r="N84" s="633"/>
    </row>
    <row r="85" spans="1:15" ht="17.25" customHeight="1">
      <c r="B85" s="627"/>
      <c r="C85" s="627"/>
      <c r="D85" s="627"/>
      <c r="E85" s="38" t="s">
        <v>73</v>
      </c>
      <c r="F85" s="245">
        <v>0</v>
      </c>
      <c r="G85" s="245"/>
      <c r="H85" s="246"/>
      <c r="I85" s="237"/>
      <c r="J85" s="238"/>
      <c r="K85" s="238"/>
      <c r="L85" s="239"/>
      <c r="M85" s="631"/>
      <c r="N85" s="633"/>
    </row>
    <row r="86" spans="1:15" ht="17.25" customHeight="1">
      <c r="B86" s="627"/>
      <c r="C86" s="627"/>
      <c r="D86" s="627"/>
      <c r="E86" s="38" t="s">
        <v>76</v>
      </c>
      <c r="F86" s="247">
        <v>0</v>
      </c>
      <c r="G86" s="247"/>
      <c r="H86" s="248"/>
      <c r="I86" s="240"/>
      <c r="J86" s="241"/>
      <c r="K86" s="241"/>
      <c r="L86" s="242"/>
      <c r="M86" s="631"/>
      <c r="N86" s="633"/>
    </row>
    <row r="87" spans="1:15" ht="17.25" customHeight="1">
      <c r="B87" s="179" t="s">
        <v>155</v>
      </c>
      <c r="C87" s="180"/>
      <c r="D87" s="181"/>
      <c r="E87" s="185">
        <v>0</v>
      </c>
      <c r="F87" s="186"/>
      <c r="G87" s="186"/>
      <c r="H87" s="187"/>
      <c r="I87" s="188">
        <v>0</v>
      </c>
      <c r="J87" s="189"/>
      <c r="K87" s="189"/>
      <c r="L87" s="190"/>
      <c r="M87" s="631"/>
      <c r="N87" s="633"/>
    </row>
    <row r="88" spans="1:15" ht="17.25" customHeight="1">
      <c r="B88" s="182"/>
      <c r="C88" s="183"/>
      <c r="D88" s="184"/>
      <c r="E88" s="202" t="s">
        <v>182</v>
      </c>
      <c r="F88" s="203"/>
      <c r="G88" s="203"/>
      <c r="H88" s="204"/>
      <c r="I88" s="65" t="s">
        <v>66</v>
      </c>
      <c r="J88" s="191">
        <v>0</v>
      </c>
      <c r="K88" s="191"/>
      <c r="L88" s="192"/>
      <c r="M88" s="631"/>
      <c r="N88" s="633"/>
    </row>
    <row r="89" spans="1:15" ht="17.25" customHeight="1">
      <c r="B89" s="193" t="s">
        <v>181</v>
      </c>
      <c r="C89" s="194"/>
      <c r="D89" s="195"/>
      <c r="E89" s="205"/>
      <c r="F89" s="206"/>
      <c r="G89" s="206"/>
      <c r="H89" s="207"/>
      <c r="I89" s="66" t="s">
        <v>69</v>
      </c>
      <c r="J89" s="200" t="s">
        <v>180</v>
      </c>
      <c r="K89" s="200"/>
      <c r="L89" s="201"/>
      <c r="M89" s="631"/>
      <c r="N89" s="633"/>
    </row>
    <row r="90" spans="1:15" ht="17.25" customHeight="1">
      <c r="B90" s="196"/>
      <c r="C90" s="194"/>
      <c r="D90" s="195"/>
      <c r="E90" s="208" t="s">
        <v>183</v>
      </c>
      <c r="F90" s="209"/>
      <c r="G90" s="209"/>
      <c r="H90" s="210"/>
      <c r="I90" s="67"/>
      <c r="J90" s="211" t="s">
        <v>185</v>
      </c>
      <c r="K90" s="211"/>
      <c r="L90" s="212"/>
      <c r="M90" s="631"/>
      <c r="N90" s="633"/>
    </row>
    <row r="91" spans="1:15" ht="17.25" customHeight="1">
      <c r="B91" s="197"/>
      <c r="C91" s="198"/>
      <c r="D91" s="199"/>
      <c r="E91" s="208" t="s">
        <v>184</v>
      </c>
      <c r="F91" s="209"/>
      <c r="G91" s="209"/>
      <c r="H91" s="210"/>
      <c r="I91" s="68"/>
      <c r="J91" s="168" t="s">
        <v>188</v>
      </c>
      <c r="K91" s="168"/>
      <c r="L91" s="169"/>
      <c r="M91" s="632"/>
      <c r="N91" s="633"/>
    </row>
    <row r="92" spans="1:15" ht="17.25" customHeight="1">
      <c r="B92" s="625" t="s">
        <v>106</v>
      </c>
      <c r="C92" s="625"/>
      <c r="D92" s="625"/>
      <c r="E92" s="173">
        <v>0</v>
      </c>
      <c r="F92" s="174"/>
      <c r="G92" s="174"/>
      <c r="H92" s="175"/>
      <c r="I92" s="176">
        <v>0</v>
      </c>
      <c r="J92" s="177"/>
      <c r="K92" s="177"/>
      <c r="L92" s="178"/>
      <c r="M92" s="31" t="s">
        <v>97</v>
      </c>
      <c r="N92" s="31" t="s">
        <v>98</v>
      </c>
    </row>
    <row r="93" spans="1:15" ht="17.25" customHeight="1">
      <c r="A93" s="45" t="s">
        <v>135</v>
      </c>
      <c r="O93" s="45" t="s">
        <v>136</v>
      </c>
    </row>
    <row r="94" spans="1:15" ht="17.25" customHeight="1">
      <c r="B94" s="626" t="s">
        <v>107</v>
      </c>
      <c r="C94" s="626"/>
      <c r="D94" s="626"/>
      <c r="E94" s="626"/>
      <c r="F94" s="626"/>
      <c r="G94" s="626"/>
      <c r="H94" s="626"/>
      <c r="I94" s="626"/>
      <c r="J94" s="626"/>
      <c r="K94" s="626"/>
      <c r="L94" s="626"/>
      <c r="M94" s="626"/>
      <c r="N94" s="626"/>
    </row>
    <row r="95" spans="1:15" ht="17.25" customHeight="1">
      <c r="B95" s="623" t="s">
        <v>108</v>
      </c>
      <c r="C95" s="623"/>
      <c r="D95" s="623"/>
      <c r="E95" s="624" t="s">
        <v>62</v>
      </c>
      <c r="F95" s="624"/>
      <c r="G95" s="624"/>
      <c r="H95" s="624"/>
      <c r="I95" s="624"/>
      <c r="J95" s="624"/>
      <c r="K95" s="624"/>
      <c r="L95" s="624"/>
      <c r="M95" s="624"/>
      <c r="N95" s="624"/>
    </row>
    <row r="96" spans="1:15" ht="17.25" customHeight="1">
      <c r="B96" s="623" t="s">
        <v>109</v>
      </c>
      <c r="C96" s="623"/>
      <c r="D96" s="623"/>
      <c r="E96" s="624" t="s">
        <v>110</v>
      </c>
      <c r="F96" s="624"/>
      <c r="G96" s="624"/>
      <c r="H96" s="624"/>
      <c r="I96" s="624"/>
      <c r="J96" s="624"/>
      <c r="K96" s="624"/>
      <c r="L96" s="624"/>
      <c r="M96" s="624"/>
      <c r="N96" s="624"/>
    </row>
    <row r="97" spans="1:15" ht="17.25" customHeight="1">
      <c r="B97" s="623" t="s">
        <v>111</v>
      </c>
      <c r="C97" s="623"/>
      <c r="D97" s="623"/>
      <c r="E97" s="624" t="s">
        <v>112</v>
      </c>
      <c r="F97" s="624"/>
      <c r="G97" s="624"/>
      <c r="H97" s="624"/>
      <c r="I97" s="624"/>
      <c r="J97" s="624"/>
      <c r="K97" s="624"/>
      <c r="L97" s="624"/>
      <c r="M97" s="624"/>
      <c r="N97" s="624"/>
    </row>
    <row r="98" spans="1:15" ht="17.25" customHeight="1">
      <c r="B98" s="623" t="s">
        <v>113</v>
      </c>
      <c r="C98" s="623"/>
      <c r="D98" s="623"/>
      <c r="E98" s="624" t="s">
        <v>158</v>
      </c>
      <c r="F98" s="624"/>
      <c r="G98" s="624"/>
      <c r="H98" s="624"/>
      <c r="I98" s="624"/>
      <c r="J98" s="624"/>
      <c r="K98" s="624"/>
      <c r="L98" s="624"/>
      <c r="M98" s="624"/>
      <c r="N98" s="624"/>
    </row>
    <row r="99" spans="1:15" ht="17.25" customHeight="1">
      <c r="A99" s="45" t="s">
        <v>135</v>
      </c>
      <c r="O99" s="45" t="s">
        <v>136</v>
      </c>
    </row>
    <row r="100" spans="1:15" ht="17.25" customHeight="1">
      <c r="B100" s="598" t="s">
        <v>114</v>
      </c>
      <c r="C100" s="598"/>
      <c r="D100" s="598"/>
      <c r="E100" s="598"/>
      <c r="F100" s="598"/>
      <c r="G100" s="598"/>
      <c r="H100" s="598"/>
      <c r="I100" s="598"/>
      <c r="J100" s="598"/>
      <c r="K100" s="598"/>
      <c r="L100" s="598"/>
      <c r="M100" s="598"/>
      <c r="N100" s="598"/>
    </row>
    <row r="101" spans="1:15" ht="17.25" customHeight="1">
      <c r="B101" s="620" t="s">
        <v>115</v>
      </c>
      <c r="C101" s="620"/>
      <c r="D101" s="620"/>
      <c r="E101" s="163" t="s">
        <v>128</v>
      </c>
      <c r="F101" s="164"/>
      <c r="G101" s="164"/>
      <c r="H101" s="164"/>
      <c r="I101" s="164"/>
      <c r="J101" s="164"/>
      <c r="K101" s="164"/>
      <c r="L101" s="164"/>
      <c r="M101" s="164"/>
      <c r="N101" s="164"/>
    </row>
    <row r="102" spans="1:15" ht="17.25" customHeight="1">
      <c r="B102" s="142" t="s">
        <v>116</v>
      </c>
      <c r="C102" s="143"/>
      <c r="D102" s="144"/>
      <c r="E102" s="165" t="s">
        <v>117</v>
      </c>
      <c r="F102" s="166"/>
      <c r="G102" s="166"/>
      <c r="H102" s="166"/>
      <c r="I102" s="166"/>
      <c r="J102" s="166"/>
      <c r="K102" s="166"/>
      <c r="L102" s="166"/>
      <c r="M102" s="166"/>
      <c r="N102" s="167"/>
    </row>
    <row r="103" spans="1:15" ht="17.25" customHeight="1">
      <c r="B103" s="620" t="s">
        <v>118</v>
      </c>
      <c r="C103" s="620"/>
      <c r="D103" s="620"/>
      <c r="E103" s="621" t="s">
        <v>119</v>
      </c>
      <c r="F103" s="622"/>
      <c r="G103" s="622"/>
      <c r="H103" s="622"/>
      <c r="I103" s="622"/>
      <c r="J103" s="622"/>
      <c r="K103" s="622"/>
      <c r="L103" s="622"/>
      <c r="M103" s="622"/>
      <c r="N103" s="622"/>
    </row>
    <row r="104" spans="1:15" ht="17.25" customHeight="1">
      <c r="B104" s="619" t="s">
        <v>120</v>
      </c>
      <c r="C104" s="619"/>
      <c r="D104" s="619"/>
      <c r="E104" s="621" t="s">
        <v>159</v>
      </c>
      <c r="F104" s="621"/>
      <c r="G104" s="621"/>
      <c r="H104" s="621"/>
      <c r="I104" s="621"/>
      <c r="J104" s="621"/>
      <c r="K104" s="621"/>
      <c r="L104" s="621"/>
      <c r="M104" s="621"/>
      <c r="N104" s="621"/>
    </row>
  </sheetData>
  <mergeCells count="204">
    <mergeCell ref="B104:D104"/>
    <mergeCell ref="E104:N104"/>
    <mergeCell ref="B100:N100"/>
    <mergeCell ref="B101:D101"/>
    <mergeCell ref="E101:N101"/>
    <mergeCell ref="B102:D102"/>
    <mergeCell ref="E102:N102"/>
    <mergeCell ref="B103:D103"/>
    <mergeCell ref="E103:N103"/>
    <mergeCell ref="B96:D96"/>
    <mergeCell ref="E96:N96"/>
    <mergeCell ref="B97:D97"/>
    <mergeCell ref="E97:N97"/>
    <mergeCell ref="B98:D98"/>
    <mergeCell ref="E98:N98"/>
    <mergeCell ref="J91:L91"/>
    <mergeCell ref="B92:D92"/>
    <mergeCell ref="E92:H92"/>
    <mergeCell ref="I92:L92"/>
    <mergeCell ref="B94:N94"/>
    <mergeCell ref="B95:D95"/>
    <mergeCell ref="E95:N95"/>
    <mergeCell ref="B87:D88"/>
    <mergeCell ref="E87:H87"/>
    <mergeCell ref="I87:L87"/>
    <mergeCell ref="E88:H89"/>
    <mergeCell ref="J88:L88"/>
    <mergeCell ref="B89:D91"/>
    <mergeCell ref="J89:L89"/>
    <mergeCell ref="E90:H90"/>
    <mergeCell ref="J90:L90"/>
    <mergeCell ref="E91:H91"/>
    <mergeCell ref="I75:L75"/>
    <mergeCell ref="F76:H76"/>
    <mergeCell ref="J76:L76"/>
    <mergeCell ref="F77:H77"/>
    <mergeCell ref="I77:L80"/>
    <mergeCell ref="F78:H78"/>
    <mergeCell ref="F79:H79"/>
    <mergeCell ref="F80:H80"/>
    <mergeCell ref="B81:D86"/>
    <mergeCell ref="E81:H81"/>
    <mergeCell ref="I81:L81"/>
    <mergeCell ref="F82:H82"/>
    <mergeCell ref="J82:L82"/>
    <mergeCell ref="F83:H83"/>
    <mergeCell ref="I83:L86"/>
    <mergeCell ref="F84:H84"/>
    <mergeCell ref="F85:H85"/>
    <mergeCell ref="F86:H86"/>
    <mergeCell ref="B64:N64"/>
    <mergeCell ref="B65:N65"/>
    <mergeCell ref="B66:D66"/>
    <mergeCell ref="E66:H66"/>
    <mergeCell ref="J66:L66"/>
    <mergeCell ref="B67:D74"/>
    <mergeCell ref="E67:H67"/>
    <mergeCell ref="I67:L67"/>
    <mergeCell ref="M67:M91"/>
    <mergeCell ref="N67:N91"/>
    <mergeCell ref="F71:H71"/>
    <mergeCell ref="J71:L71"/>
    <mergeCell ref="F72:H72"/>
    <mergeCell ref="I72:L74"/>
    <mergeCell ref="F73:H73"/>
    <mergeCell ref="F74:H74"/>
    <mergeCell ref="F68:H68"/>
    <mergeCell ref="J68:L68"/>
    <mergeCell ref="F69:H69"/>
    <mergeCell ref="J69:L69"/>
    <mergeCell ref="F70:H70"/>
    <mergeCell ref="J70:L70"/>
    <mergeCell ref="B75:D80"/>
    <mergeCell ref="E75:H75"/>
    <mergeCell ref="M59:M60"/>
    <mergeCell ref="E60:H60"/>
    <mergeCell ref="J60:L60"/>
    <mergeCell ref="E61:H61"/>
    <mergeCell ref="J61:L61"/>
    <mergeCell ref="B62:D62"/>
    <mergeCell ref="E62:H62"/>
    <mergeCell ref="I62:L62"/>
    <mergeCell ref="B57:D58"/>
    <mergeCell ref="E57:H57"/>
    <mergeCell ref="I57:L57"/>
    <mergeCell ref="E58:H59"/>
    <mergeCell ref="J58:L58"/>
    <mergeCell ref="B59:D61"/>
    <mergeCell ref="J59:L59"/>
    <mergeCell ref="M53:M54"/>
    <mergeCell ref="N53:N54"/>
    <mergeCell ref="F54:H54"/>
    <mergeCell ref="F55:H55"/>
    <mergeCell ref="M55:M56"/>
    <mergeCell ref="F56:H56"/>
    <mergeCell ref="B51:D56"/>
    <mergeCell ref="E51:H51"/>
    <mergeCell ref="I51:L51"/>
    <mergeCell ref="F52:H52"/>
    <mergeCell ref="J52:L52"/>
    <mergeCell ref="F53:H53"/>
    <mergeCell ref="I53:L56"/>
    <mergeCell ref="N47:N49"/>
    <mergeCell ref="F48:H48"/>
    <mergeCell ref="F49:H49"/>
    <mergeCell ref="F50:H50"/>
    <mergeCell ref="M50:M51"/>
    <mergeCell ref="N50:N51"/>
    <mergeCell ref="I44:L44"/>
    <mergeCell ref="F45:H45"/>
    <mergeCell ref="J45:L45"/>
    <mergeCell ref="F46:H46"/>
    <mergeCell ref="J46:L46"/>
    <mergeCell ref="B47:D50"/>
    <mergeCell ref="F47:H47"/>
    <mergeCell ref="I47:L50"/>
    <mergeCell ref="B41:D43"/>
    <mergeCell ref="F41:H41"/>
    <mergeCell ref="I41:L41"/>
    <mergeCell ref="F42:H42"/>
    <mergeCell ref="I42:L42"/>
    <mergeCell ref="M42:M44"/>
    <mergeCell ref="F43:H43"/>
    <mergeCell ref="I43:L43"/>
    <mergeCell ref="B44:D46"/>
    <mergeCell ref="E44:H44"/>
    <mergeCell ref="M47:M49"/>
    <mergeCell ref="B38:D40"/>
    <mergeCell ref="E38:H38"/>
    <mergeCell ref="I38:L38"/>
    <mergeCell ref="J32:L32"/>
    <mergeCell ref="M32:M33"/>
    <mergeCell ref="N32:N33"/>
    <mergeCell ref="F33:H33"/>
    <mergeCell ref="J33:L33"/>
    <mergeCell ref="F34:H34"/>
    <mergeCell ref="J34:L34"/>
    <mergeCell ref="M34:M36"/>
    <mergeCell ref="N34:N36"/>
    <mergeCell ref="F35:H35"/>
    <mergeCell ref="M38:M40"/>
    <mergeCell ref="N38:N40"/>
    <mergeCell ref="F39:H39"/>
    <mergeCell ref="I39:L39"/>
    <mergeCell ref="F40:H40"/>
    <mergeCell ref="I40:L40"/>
    <mergeCell ref="I35:L37"/>
    <mergeCell ref="F36:H36"/>
    <mergeCell ref="F37:H37"/>
    <mergeCell ref="B28:N28"/>
    <mergeCell ref="B29:D29"/>
    <mergeCell ref="E29:H29"/>
    <mergeCell ref="I29:L29"/>
    <mergeCell ref="B30:D37"/>
    <mergeCell ref="E30:H30"/>
    <mergeCell ref="I30:L30"/>
    <mergeCell ref="F31:H31"/>
    <mergeCell ref="J31:L31"/>
    <mergeCell ref="F32:H32"/>
    <mergeCell ref="B24:B25"/>
    <mergeCell ref="C24:D24"/>
    <mergeCell ref="E24:N24"/>
    <mergeCell ref="C25:D25"/>
    <mergeCell ref="E25:N25"/>
    <mergeCell ref="B27:N27"/>
    <mergeCell ref="I22:J22"/>
    <mergeCell ref="M22:M23"/>
    <mergeCell ref="N22:N23"/>
    <mergeCell ref="C23:D23"/>
    <mergeCell ref="E23:F23"/>
    <mergeCell ref="I23:J23"/>
    <mergeCell ref="C19:C20"/>
    <mergeCell ref="E19:F19"/>
    <mergeCell ref="G19:N20"/>
    <mergeCell ref="E20:F20"/>
    <mergeCell ref="B21:B23"/>
    <mergeCell ref="C21:D21"/>
    <mergeCell ref="E21:H21"/>
    <mergeCell ref="I21:L21"/>
    <mergeCell ref="C22:D22"/>
    <mergeCell ref="E22:F22"/>
    <mergeCell ref="B13:B20"/>
    <mergeCell ref="C17:C18"/>
    <mergeCell ref="E17:F17"/>
    <mergeCell ref="G17:N18"/>
    <mergeCell ref="E18:F18"/>
    <mergeCell ref="C10:N10"/>
    <mergeCell ref="C11:N11"/>
    <mergeCell ref="C12:N12"/>
    <mergeCell ref="C13:C16"/>
    <mergeCell ref="E13:F13"/>
    <mergeCell ref="G13:N13"/>
    <mergeCell ref="E14:F14"/>
    <mergeCell ref="G14:N14"/>
    <mergeCell ref="E15:F15"/>
    <mergeCell ref="B4:N4"/>
    <mergeCell ref="C5:N5"/>
    <mergeCell ref="C6:N6"/>
    <mergeCell ref="C7:N7"/>
    <mergeCell ref="D8:N8"/>
    <mergeCell ref="C9:N9"/>
    <mergeCell ref="G15:N15"/>
    <mergeCell ref="E16:F16"/>
    <mergeCell ref="G16:N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CC16-1643-9D4D-B039-FC06C8E2AFFA}">
  <dimension ref="A1:Q104"/>
  <sheetViews>
    <sheetView workbookViewId="0">
      <selection activeCell="F43" sqref="F43:H43"/>
    </sheetView>
  </sheetViews>
  <sheetFormatPr baseColWidth="10" defaultColWidth="27.6640625" defaultRowHeight="17.25" customHeight="1"/>
  <cols>
    <col min="1" max="1" width="3" style="8" customWidth="1"/>
    <col min="2" max="2" width="9.5" style="8" customWidth="1"/>
    <col min="3" max="3" width="8" style="8" customWidth="1"/>
    <col min="4" max="4" width="18.33203125" style="8" customWidth="1"/>
    <col min="5" max="5" width="2" style="125" customWidth="1"/>
    <col min="6" max="6" width="7.6640625" style="8" customWidth="1"/>
    <col min="7" max="7" width="14.6640625" style="8" customWidth="1"/>
    <col min="8" max="8" width="10.6640625" style="8" customWidth="1"/>
    <col min="9" max="9" width="2" style="125" customWidth="1"/>
    <col min="10" max="10" width="7.6640625" style="8" customWidth="1"/>
    <col min="11" max="11" width="14.6640625" style="8" customWidth="1"/>
    <col min="12" max="12" width="10.6640625" style="8" customWidth="1"/>
    <col min="13" max="14" width="33.83203125" style="8" customWidth="1"/>
    <col min="15" max="15" width="3" style="8" customWidth="1"/>
    <col min="16" max="20" width="9.33203125" style="8" customWidth="1"/>
    <col min="21" max="16384" width="27.6640625" style="8"/>
  </cols>
  <sheetData>
    <row r="1" spans="1:15" ht="17.25" customHeight="1">
      <c r="A1" s="61" t="s">
        <v>166</v>
      </c>
    </row>
    <row r="2" spans="1:15" ht="17.25" customHeight="1">
      <c r="A2" s="61" t="s">
        <v>165</v>
      </c>
    </row>
    <row r="3" spans="1:15" ht="17.25" customHeight="1">
      <c r="A3" s="45"/>
    </row>
    <row r="4" spans="1:15" ht="17.25" customHeight="1">
      <c r="B4" s="587" t="s">
        <v>402</v>
      </c>
      <c r="C4" s="588"/>
      <c r="D4" s="588"/>
      <c r="E4" s="588"/>
      <c r="F4" s="588"/>
      <c r="G4" s="588"/>
      <c r="H4" s="588"/>
      <c r="I4" s="588"/>
      <c r="J4" s="588"/>
      <c r="K4" s="588"/>
      <c r="L4" s="588"/>
      <c r="M4" s="588"/>
      <c r="N4" s="589"/>
      <c r="O4" s="111"/>
    </row>
    <row r="5" spans="1:15" ht="17.25" customHeight="1">
      <c r="B5" s="9" t="s">
        <v>29</v>
      </c>
      <c r="C5" s="590" t="s">
        <v>121</v>
      </c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12"/>
    </row>
    <row r="6" spans="1:15" ht="17.25" customHeight="1">
      <c r="A6" s="45" t="s">
        <v>135</v>
      </c>
      <c r="B6" s="9" t="s">
        <v>30</v>
      </c>
      <c r="C6" s="591" t="s">
        <v>121</v>
      </c>
      <c r="D6" s="591"/>
      <c r="E6" s="591"/>
      <c r="F6" s="591"/>
      <c r="G6" s="591"/>
      <c r="H6" s="591"/>
      <c r="I6" s="591"/>
      <c r="J6" s="591"/>
      <c r="K6" s="591"/>
      <c r="L6" s="591"/>
      <c r="M6" s="591"/>
      <c r="N6" s="591"/>
      <c r="O6" s="48" t="s">
        <v>136</v>
      </c>
    </row>
    <row r="7" spans="1:15" ht="17.25" customHeight="1">
      <c r="A7" s="45" t="s">
        <v>135</v>
      </c>
      <c r="B7" s="9" t="s">
        <v>31</v>
      </c>
      <c r="C7" s="592" t="s">
        <v>121</v>
      </c>
      <c r="D7" s="592"/>
      <c r="E7" s="592"/>
      <c r="F7" s="592"/>
      <c r="G7" s="592"/>
      <c r="H7" s="592"/>
      <c r="I7" s="592"/>
      <c r="J7" s="592"/>
      <c r="K7" s="592"/>
      <c r="L7" s="592"/>
      <c r="M7" s="592"/>
      <c r="N7" s="592"/>
      <c r="O7" s="49" t="s">
        <v>136</v>
      </c>
    </row>
    <row r="8" spans="1:15" ht="17.25" customHeight="1">
      <c r="B8" s="9" t="s">
        <v>32</v>
      </c>
      <c r="C8" s="10" t="s">
        <v>121</v>
      </c>
      <c r="D8" s="593" t="s">
        <v>33</v>
      </c>
      <c r="E8" s="593"/>
      <c r="F8" s="593"/>
      <c r="G8" s="593"/>
      <c r="H8" s="593"/>
      <c r="I8" s="593"/>
      <c r="J8" s="593"/>
      <c r="K8" s="593"/>
      <c r="L8" s="593"/>
      <c r="M8" s="593"/>
      <c r="N8" s="594"/>
      <c r="O8" s="113"/>
    </row>
    <row r="9" spans="1:15" ht="17.25" customHeight="1">
      <c r="B9" s="9" t="s">
        <v>34</v>
      </c>
      <c r="C9" s="595" t="s">
        <v>122</v>
      </c>
      <c r="D9" s="596"/>
      <c r="E9" s="596"/>
      <c r="F9" s="596"/>
      <c r="G9" s="596"/>
      <c r="H9" s="596"/>
      <c r="I9" s="596"/>
      <c r="J9" s="596"/>
      <c r="K9" s="596"/>
      <c r="L9" s="596"/>
      <c r="M9" s="596"/>
      <c r="N9" s="597"/>
      <c r="O9" s="114"/>
    </row>
    <row r="10" spans="1:15" ht="17.25" customHeight="1">
      <c r="B10" s="9" t="s">
        <v>35</v>
      </c>
      <c r="C10" s="572" t="s">
        <v>123</v>
      </c>
      <c r="D10" s="572"/>
      <c r="E10" s="572"/>
      <c r="F10" s="572"/>
      <c r="G10" s="572"/>
      <c r="H10" s="572"/>
      <c r="I10" s="572"/>
      <c r="J10" s="572"/>
      <c r="K10" s="572"/>
      <c r="L10" s="572"/>
      <c r="M10" s="572"/>
      <c r="N10" s="572"/>
      <c r="O10" s="115"/>
    </row>
    <row r="11" spans="1:15" ht="17.25" customHeight="1">
      <c r="B11" s="11" t="s">
        <v>36</v>
      </c>
      <c r="C11" s="573" t="s">
        <v>406</v>
      </c>
      <c r="D11" s="574"/>
      <c r="E11" s="574"/>
      <c r="F11" s="574"/>
      <c r="G11" s="574"/>
      <c r="H11" s="574"/>
      <c r="I11" s="574"/>
      <c r="J11" s="574"/>
      <c r="K11" s="574"/>
      <c r="L11" s="574"/>
      <c r="M11" s="574"/>
      <c r="N11" s="575"/>
      <c r="O11" s="115"/>
    </row>
    <row r="12" spans="1:15" ht="17.25" customHeight="1">
      <c r="B12" s="11" t="s">
        <v>37</v>
      </c>
      <c r="C12" s="576" t="s">
        <v>436</v>
      </c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578"/>
      <c r="O12" s="116"/>
    </row>
    <row r="13" spans="1:15" ht="17.25" customHeight="1">
      <c r="B13" s="559" t="s">
        <v>160</v>
      </c>
      <c r="C13" s="683" t="s">
        <v>39</v>
      </c>
      <c r="D13" s="12" t="s">
        <v>40</v>
      </c>
      <c r="E13" s="567" t="s">
        <v>121</v>
      </c>
      <c r="F13" s="567"/>
      <c r="G13" s="582" t="s">
        <v>151</v>
      </c>
      <c r="H13" s="582"/>
      <c r="I13" s="582"/>
      <c r="J13" s="582"/>
      <c r="K13" s="582"/>
      <c r="L13" s="582"/>
      <c r="M13" s="582"/>
      <c r="N13" s="582"/>
      <c r="O13" s="117"/>
    </row>
    <row r="14" spans="1:15" ht="17.25" customHeight="1">
      <c r="B14" s="568"/>
      <c r="C14" s="683"/>
      <c r="D14" s="13" t="s">
        <v>41</v>
      </c>
      <c r="E14" s="567" t="s">
        <v>121</v>
      </c>
      <c r="F14" s="567"/>
      <c r="G14" s="583" t="s">
        <v>42</v>
      </c>
      <c r="H14" s="583"/>
      <c r="I14" s="583"/>
      <c r="J14" s="583"/>
      <c r="K14" s="583"/>
      <c r="L14" s="583"/>
      <c r="M14" s="583"/>
      <c r="N14" s="583"/>
      <c r="O14" s="117"/>
    </row>
    <row r="15" spans="1:15" ht="17.25" customHeight="1">
      <c r="B15" s="568"/>
      <c r="C15" s="683"/>
      <c r="D15" s="13" t="s">
        <v>43</v>
      </c>
      <c r="E15" s="567" t="s">
        <v>121</v>
      </c>
      <c r="F15" s="567"/>
      <c r="G15" s="584" t="s">
        <v>170</v>
      </c>
      <c r="H15" s="585"/>
      <c r="I15" s="585"/>
      <c r="J15" s="585"/>
      <c r="K15" s="585"/>
      <c r="L15" s="585"/>
      <c r="M15" s="585"/>
      <c r="N15" s="586"/>
      <c r="O15" s="117"/>
    </row>
    <row r="16" spans="1:15" ht="17.25" customHeight="1">
      <c r="B16" s="568"/>
      <c r="C16" s="683"/>
      <c r="D16" s="13" t="s">
        <v>44</v>
      </c>
      <c r="E16" s="567" t="s">
        <v>121</v>
      </c>
      <c r="F16" s="567"/>
      <c r="G16" s="584" t="s">
        <v>200</v>
      </c>
      <c r="H16" s="585"/>
      <c r="I16" s="585"/>
      <c r="J16" s="585"/>
      <c r="K16" s="585"/>
      <c r="L16" s="585"/>
      <c r="M16" s="585"/>
      <c r="N16" s="586"/>
      <c r="O16" s="117"/>
    </row>
    <row r="17" spans="1:15" ht="17.25" customHeight="1">
      <c r="B17" s="568"/>
      <c r="C17" s="580" t="s">
        <v>45</v>
      </c>
      <c r="D17" s="13" t="s">
        <v>46</v>
      </c>
      <c r="E17" s="567" t="s">
        <v>121</v>
      </c>
      <c r="F17" s="567"/>
      <c r="G17" s="561" t="s">
        <v>47</v>
      </c>
      <c r="H17" s="562"/>
      <c r="I17" s="562"/>
      <c r="J17" s="562"/>
      <c r="K17" s="562"/>
      <c r="L17" s="562"/>
      <c r="M17" s="562"/>
      <c r="N17" s="563"/>
      <c r="O17" s="117"/>
    </row>
    <row r="18" spans="1:15" ht="17.25" customHeight="1">
      <c r="B18" s="568"/>
      <c r="C18" s="581"/>
      <c r="D18" s="13" t="s">
        <v>48</v>
      </c>
      <c r="E18" s="567" t="s">
        <v>121</v>
      </c>
      <c r="F18" s="567"/>
      <c r="G18" s="564"/>
      <c r="H18" s="565"/>
      <c r="I18" s="565"/>
      <c r="J18" s="565"/>
      <c r="K18" s="565"/>
      <c r="L18" s="565"/>
      <c r="M18" s="565"/>
      <c r="N18" s="566"/>
      <c r="O18" s="117"/>
    </row>
    <row r="19" spans="1:15" ht="17.25" customHeight="1">
      <c r="B19" s="568"/>
      <c r="C19" s="579" t="s">
        <v>49</v>
      </c>
      <c r="D19" s="13" t="s">
        <v>50</v>
      </c>
      <c r="E19" s="567" t="s">
        <v>121</v>
      </c>
      <c r="F19" s="567"/>
      <c r="G19" s="561" t="s">
        <v>423</v>
      </c>
      <c r="H19" s="562"/>
      <c r="I19" s="562"/>
      <c r="J19" s="562"/>
      <c r="K19" s="562"/>
      <c r="L19" s="562"/>
      <c r="M19" s="562"/>
      <c r="N19" s="563"/>
      <c r="O19" s="117"/>
    </row>
    <row r="20" spans="1:15" ht="17.25" customHeight="1">
      <c r="B20" s="560"/>
      <c r="C20" s="581"/>
      <c r="D20" s="13" t="s">
        <v>51</v>
      </c>
      <c r="E20" s="567" t="s">
        <v>121</v>
      </c>
      <c r="F20" s="567"/>
      <c r="G20" s="564"/>
      <c r="H20" s="565"/>
      <c r="I20" s="565"/>
      <c r="J20" s="565"/>
      <c r="K20" s="565"/>
      <c r="L20" s="565"/>
      <c r="M20" s="565"/>
      <c r="N20" s="566"/>
      <c r="O20" s="117"/>
    </row>
    <row r="21" spans="1:15" ht="17.25" customHeight="1">
      <c r="B21" s="559" t="s">
        <v>52</v>
      </c>
      <c r="C21" s="679"/>
      <c r="D21" s="679"/>
      <c r="E21" s="571" t="s">
        <v>408</v>
      </c>
      <c r="F21" s="571"/>
      <c r="G21" s="571"/>
      <c r="H21" s="571"/>
      <c r="I21" s="571" t="s">
        <v>409</v>
      </c>
      <c r="J21" s="571"/>
      <c r="K21" s="571"/>
      <c r="L21" s="571"/>
      <c r="M21" s="14" t="s">
        <v>55</v>
      </c>
      <c r="N21" s="14" t="s">
        <v>56</v>
      </c>
      <c r="O21" s="118"/>
    </row>
    <row r="22" spans="1:15" ht="17.25" customHeight="1">
      <c r="B22" s="568"/>
      <c r="C22" s="571" t="s">
        <v>57</v>
      </c>
      <c r="D22" s="571"/>
      <c r="E22" s="554" t="s">
        <v>124</v>
      </c>
      <c r="F22" s="555"/>
      <c r="G22" s="15" t="s">
        <v>125</v>
      </c>
      <c r="H22" s="16" t="s">
        <v>126</v>
      </c>
      <c r="I22" s="554" t="s">
        <v>124</v>
      </c>
      <c r="J22" s="555"/>
      <c r="K22" s="15" t="s">
        <v>125</v>
      </c>
      <c r="L22" s="16" t="s">
        <v>126</v>
      </c>
      <c r="M22" s="551" t="s">
        <v>410</v>
      </c>
      <c r="N22" s="551" t="s">
        <v>58</v>
      </c>
      <c r="O22" s="119"/>
    </row>
    <row r="23" spans="1:15" ht="17.25" customHeight="1">
      <c r="B23" s="560"/>
      <c r="C23" s="571" t="s">
        <v>59</v>
      </c>
      <c r="D23" s="571"/>
      <c r="E23" s="554" t="s">
        <v>124</v>
      </c>
      <c r="F23" s="555"/>
      <c r="G23" s="15" t="s">
        <v>125</v>
      </c>
      <c r="H23" s="16" t="s">
        <v>126</v>
      </c>
      <c r="I23" s="554" t="s">
        <v>124</v>
      </c>
      <c r="J23" s="555"/>
      <c r="K23" s="15" t="s">
        <v>125</v>
      </c>
      <c r="L23" s="16" t="s">
        <v>126</v>
      </c>
      <c r="M23" s="551"/>
      <c r="N23" s="551"/>
      <c r="O23" s="119"/>
    </row>
    <row r="24" spans="1:15" ht="17.25" customHeight="1">
      <c r="B24" s="559" t="s">
        <v>60</v>
      </c>
      <c r="C24" s="571" t="s">
        <v>61</v>
      </c>
      <c r="D24" s="571"/>
      <c r="E24" s="163" t="s">
        <v>62</v>
      </c>
      <c r="F24" s="163"/>
      <c r="G24" s="163"/>
      <c r="H24" s="163"/>
      <c r="I24" s="163"/>
      <c r="J24" s="163"/>
      <c r="K24" s="163"/>
      <c r="L24" s="163"/>
      <c r="M24" s="163"/>
      <c r="N24" s="163"/>
      <c r="O24" s="120"/>
    </row>
    <row r="25" spans="1:15" ht="17.25" customHeight="1">
      <c r="B25" s="560"/>
      <c r="C25" s="571" t="s">
        <v>63</v>
      </c>
      <c r="D25" s="571"/>
      <c r="E25" s="163" t="s">
        <v>128</v>
      </c>
      <c r="F25" s="164"/>
      <c r="G25" s="164"/>
      <c r="H25" s="164"/>
      <c r="I25" s="164"/>
      <c r="J25" s="164"/>
      <c r="K25" s="164"/>
      <c r="L25" s="164"/>
      <c r="M25" s="164"/>
      <c r="N25" s="164"/>
      <c r="O25" s="120"/>
    </row>
    <row r="26" spans="1:15" ht="17.25" customHeight="1">
      <c r="A26" s="45" t="s">
        <v>135</v>
      </c>
      <c r="E26" s="39"/>
      <c r="I26" s="39"/>
      <c r="O26" s="45" t="s">
        <v>136</v>
      </c>
    </row>
    <row r="27" spans="1:15" ht="17.25" customHeight="1">
      <c r="B27" s="626" t="s">
        <v>411</v>
      </c>
      <c r="C27" s="626"/>
      <c r="D27" s="626"/>
      <c r="E27" s="626"/>
      <c r="F27" s="626"/>
      <c r="G27" s="626"/>
      <c r="H27" s="626"/>
      <c r="I27" s="626"/>
      <c r="J27" s="626"/>
      <c r="K27" s="626"/>
      <c r="L27" s="626"/>
      <c r="M27" s="626"/>
      <c r="N27" s="626"/>
      <c r="O27" s="121"/>
    </row>
    <row r="28" spans="1:15" ht="17.25" customHeight="1">
      <c r="B28" s="556" t="s">
        <v>167</v>
      </c>
      <c r="C28" s="557"/>
      <c r="D28" s="557"/>
      <c r="E28" s="557"/>
      <c r="F28" s="557"/>
      <c r="G28" s="557"/>
      <c r="H28" s="557"/>
      <c r="I28" s="557"/>
      <c r="J28" s="557"/>
      <c r="K28" s="557"/>
      <c r="L28" s="557"/>
      <c r="M28" s="557"/>
      <c r="N28" s="558"/>
      <c r="O28" s="122"/>
    </row>
    <row r="29" spans="1:15" ht="17.25" customHeight="1">
      <c r="B29" s="667" t="s">
        <v>64</v>
      </c>
      <c r="C29" s="667"/>
      <c r="D29" s="667"/>
      <c r="E29" s="520" t="s">
        <v>412</v>
      </c>
      <c r="F29" s="521"/>
      <c r="G29" s="521"/>
      <c r="H29" s="522"/>
      <c r="I29" s="520" t="s">
        <v>413</v>
      </c>
      <c r="J29" s="521"/>
      <c r="K29" s="521"/>
      <c r="L29" s="522"/>
      <c r="M29" s="17" t="s">
        <v>55</v>
      </c>
      <c r="N29" s="17" t="s">
        <v>56</v>
      </c>
      <c r="O29" s="123"/>
    </row>
    <row r="30" spans="1:15" ht="17.25" customHeight="1">
      <c r="B30" s="526" t="s">
        <v>424</v>
      </c>
      <c r="C30" s="527"/>
      <c r="D30" s="528"/>
      <c r="E30" s="668">
        <v>0</v>
      </c>
      <c r="F30" s="668"/>
      <c r="G30" s="668"/>
      <c r="H30" s="669"/>
      <c r="I30" s="670">
        <v>0</v>
      </c>
      <c r="J30" s="671"/>
      <c r="K30" s="671"/>
      <c r="L30" s="672"/>
      <c r="M30" s="18"/>
      <c r="N30" s="19"/>
      <c r="O30" s="124"/>
    </row>
    <row r="31" spans="1:15" ht="17.25" customHeight="1">
      <c r="B31" s="526"/>
      <c r="C31" s="527"/>
      <c r="D31" s="528"/>
      <c r="E31" s="126" t="s">
        <v>66</v>
      </c>
      <c r="F31" s="673">
        <v>0</v>
      </c>
      <c r="G31" s="673"/>
      <c r="H31" s="674"/>
      <c r="I31" s="126" t="s">
        <v>66</v>
      </c>
      <c r="J31" s="512" t="s">
        <v>129</v>
      </c>
      <c r="K31" s="512"/>
      <c r="L31" s="513"/>
      <c r="M31" s="20" t="s">
        <v>67</v>
      </c>
      <c r="N31" s="20" t="s">
        <v>68</v>
      </c>
      <c r="O31" s="124"/>
    </row>
    <row r="32" spans="1:15" ht="17.25" customHeight="1">
      <c r="B32" s="526"/>
      <c r="C32" s="527"/>
      <c r="D32" s="528"/>
      <c r="E32" s="126" t="s">
        <v>69</v>
      </c>
      <c r="F32" s="540">
        <v>0</v>
      </c>
      <c r="G32" s="540"/>
      <c r="H32" s="541"/>
      <c r="I32" s="126" t="s">
        <v>69</v>
      </c>
      <c r="J32" s="512" t="s">
        <v>130</v>
      </c>
      <c r="K32" s="512"/>
      <c r="L32" s="513"/>
      <c r="M32" s="407" t="s">
        <v>70</v>
      </c>
      <c r="N32" s="407" t="s">
        <v>71</v>
      </c>
      <c r="O32" s="124"/>
    </row>
    <row r="33" spans="2:17" ht="17.25" customHeight="1">
      <c r="B33" s="526"/>
      <c r="C33" s="527"/>
      <c r="D33" s="528"/>
      <c r="E33" s="126" t="s">
        <v>72</v>
      </c>
      <c r="F33" s="514">
        <v>0</v>
      </c>
      <c r="G33" s="514"/>
      <c r="H33" s="515"/>
      <c r="I33" s="126" t="s">
        <v>72</v>
      </c>
      <c r="J33" s="379">
        <v>0</v>
      </c>
      <c r="K33" s="379"/>
      <c r="L33" s="380"/>
      <c r="M33" s="407"/>
      <c r="N33" s="427"/>
      <c r="O33" s="124"/>
    </row>
    <row r="34" spans="2:17" ht="17.25" customHeight="1">
      <c r="B34" s="526"/>
      <c r="C34" s="527"/>
      <c r="D34" s="528"/>
      <c r="E34" s="126" t="s">
        <v>73</v>
      </c>
      <c r="F34" s="516">
        <v>0</v>
      </c>
      <c r="G34" s="516"/>
      <c r="H34" s="517"/>
      <c r="I34" s="126" t="s">
        <v>73</v>
      </c>
      <c r="J34" s="519">
        <v>0</v>
      </c>
      <c r="K34" s="666"/>
      <c r="L34" s="666"/>
      <c r="M34" s="357" t="s">
        <v>74</v>
      </c>
      <c r="N34" s="357" t="s">
        <v>75</v>
      </c>
      <c r="O34" s="124"/>
    </row>
    <row r="35" spans="2:17" ht="17.25" customHeight="1">
      <c r="B35" s="526"/>
      <c r="C35" s="527"/>
      <c r="D35" s="528"/>
      <c r="E35" s="126" t="s">
        <v>76</v>
      </c>
      <c r="F35" s="487">
        <v>0</v>
      </c>
      <c r="G35" s="487"/>
      <c r="H35" s="488"/>
      <c r="I35" s="542" t="s">
        <v>169</v>
      </c>
      <c r="J35" s="543"/>
      <c r="K35" s="543"/>
      <c r="L35" s="544"/>
      <c r="M35" s="357"/>
      <c r="N35" s="407"/>
      <c r="O35" s="124"/>
    </row>
    <row r="36" spans="2:17" ht="17.25" customHeight="1">
      <c r="B36" s="526"/>
      <c r="C36" s="527"/>
      <c r="D36" s="528"/>
      <c r="E36" s="126" t="s">
        <v>77</v>
      </c>
      <c r="F36" s="508">
        <v>0</v>
      </c>
      <c r="G36" s="508"/>
      <c r="H36" s="509"/>
      <c r="I36" s="545"/>
      <c r="J36" s="546"/>
      <c r="K36" s="546"/>
      <c r="L36" s="547"/>
      <c r="M36" s="357"/>
      <c r="N36" s="407"/>
      <c r="O36" s="124"/>
    </row>
    <row r="37" spans="2:17" ht="17.25" customHeight="1">
      <c r="B37" s="526"/>
      <c r="C37" s="527"/>
      <c r="D37" s="528"/>
      <c r="E37" s="126" t="s">
        <v>78</v>
      </c>
      <c r="F37" s="510">
        <v>0</v>
      </c>
      <c r="G37" s="510"/>
      <c r="H37" s="511"/>
      <c r="I37" s="548"/>
      <c r="J37" s="549"/>
      <c r="K37" s="549"/>
      <c r="L37" s="550"/>
      <c r="M37" s="21"/>
      <c r="N37" s="22"/>
      <c r="O37" s="124"/>
    </row>
    <row r="38" spans="2:17" ht="17.25" customHeight="1">
      <c r="B38" s="770" t="s">
        <v>437</v>
      </c>
      <c r="C38" s="771"/>
      <c r="D38" s="772"/>
      <c r="E38" s="495">
        <v>0</v>
      </c>
      <c r="F38" s="496"/>
      <c r="G38" s="496"/>
      <c r="H38" s="497"/>
      <c r="I38" s="767" t="s">
        <v>426</v>
      </c>
      <c r="J38" s="768"/>
      <c r="K38" s="768"/>
      <c r="L38" s="769"/>
      <c r="M38" s="407" t="s">
        <v>172</v>
      </c>
      <c r="N38" s="467" t="s">
        <v>80</v>
      </c>
      <c r="O38" s="124"/>
    </row>
    <row r="39" spans="2:17" ht="17.25" customHeight="1">
      <c r="B39" s="773"/>
      <c r="C39" s="774"/>
      <c r="D39" s="775"/>
      <c r="E39" s="127" t="s">
        <v>66</v>
      </c>
      <c r="F39" s="501">
        <v>0</v>
      </c>
      <c r="G39" s="501"/>
      <c r="H39" s="502"/>
      <c r="I39" s="466" t="s">
        <v>427</v>
      </c>
      <c r="J39" s="466"/>
      <c r="K39" s="466"/>
      <c r="L39" s="466"/>
      <c r="M39" s="407"/>
      <c r="N39" s="467"/>
      <c r="O39" s="124"/>
    </row>
    <row r="40" spans="2:17" ht="17.25" customHeight="1">
      <c r="B40" s="773"/>
      <c r="C40" s="774"/>
      <c r="D40" s="775"/>
      <c r="E40" s="127" t="s">
        <v>69</v>
      </c>
      <c r="F40" s="506" t="s">
        <v>428</v>
      </c>
      <c r="G40" s="506"/>
      <c r="H40" s="507"/>
      <c r="I40" s="466" t="s">
        <v>429</v>
      </c>
      <c r="J40" s="466"/>
      <c r="K40" s="466"/>
      <c r="L40" s="466"/>
      <c r="M40" s="407"/>
      <c r="N40" s="467"/>
      <c r="O40" s="124"/>
    </row>
    <row r="41" spans="2:17" ht="17.25" customHeight="1">
      <c r="B41" s="458" t="s">
        <v>438</v>
      </c>
      <c r="C41" s="459"/>
      <c r="D41" s="460"/>
      <c r="E41" s="127" t="s">
        <v>72</v>
      </c>
      <c r="F41" s="464" t="s">
        <v>431</v>
      </c>
      <c r="G41" s="464"/>
      <c r="H41" s="465"/>
      <c r="I41" s="603"/>
      <c r="J41" s="603"/>
      <c r="K41" s="603"/>
      <c r="L41" s="603"/>
      <c r="M41" s="23"/>
      <c r="N41" s="23"/>
      <c r="O41" s="124"/>
      <c r="Q41" s="8" t="s">
        <v>83</v>
      </c>
    </row>
    <row r="42" spans="2:17" ht="17.25" customHeight="1">
      <c r="B42" s="458"/>
      <c r="C42" s="459"/>
      <c r="D42" s="460"/>
      <c r="E42" s="127" t="s">
        <v>73</v>
      </c>
      <c r="F42" s="436" t="s">
        <v>433</v>
      </c>
      <c r="G42" s="436"/>
      <c r="H42" s="437"/>
      <c r="I42" s="603"/>
      <c r="J42" s="603"/>
      <c r="K42" s="603"/>
      <c r="L42" s="603"/>
      <c r="M42" s="407" t="s">
        <v>171</v>
      </c>
      <c r="N42" s="23"/>
      <c r="O42" s="124"/>
    </row>
    <row r="43" spans="2:17" ht="17.25" customHeight="1">
      <c r="B43" s="461"/>
      <c r="C43" s="462"/>
      <c r="D43" s="463"/>
      <c r="E43" s="127" t="s">
        <v>76</v>
      </c>
      <c r="F43" s="441">
        <v>0</v>
      </c>
      <c r="G43" s="441"/>
      <c r="H43" s="442"/>
      <c r="I43" s="603"/>
      <c r="J43" s="603"/>
      <c r="K43" s="603"/>
      <c r="L43" s="603"/>
      <c r="M43" s="407"/>
      <c r="N43" s="23"/>
      <c r="O43" s="124"/>
    </row>
    <row r="44" spans="2:17" ht="17.25" customHeight="1">
      <c r="B44" s="776" t="s">
        <v>439</v>
      </c>
      <c r="C44" s="777"/>
      <c r="D44" s="778"/>
      <c r="E44" s="421">
        <v>0</v>
      </c>
      <c r="F44" s="422"/>
      <c r="G44" s="422"/>
      <c r="H44" s="423"/>
      <c r="I44" s="424">
        <v>0</v>
      </c>
      <c r="J44" s="425"/>
      <c r="K44" s="425"/>
      <c r="L44" s="426"/>
      <c r="M44" s="407"/>
      <c r="N44" s="23"/>
      <c r="O44" s="124"/>
    </row>
    <row r="45" spans="2:17" ht="17.25" customHeight="1">
      <c r="B45" s="779"/>
      <c r="C45" s="780"/>
      <c r="D45" s="781"/>
      <c r="E45" s="128" t="s">
        <v>66</v>
      </c>
      <c r="F45" s="428">
        <v>0</v>
      </c>
      <c r="G45" s="428"/>
      <c r="H45" s="429"/>
      <c r="I45" s="128" t="s">
        <v>66</v>
      </c>
      <c r="J45" s="431">
        <v>0</v>
      </c>
      <c r="K45" s="634"/>
      <c r="L45" s="634"/>
      <c r="M45" s="24" t="s">
        <v>85</v>
      </c>
      <c r="N45" s="25" t="s">
        <v>85</v>
      </c>
      <c r="O45" s="124"/>
    </row>
    <row r="46" spans="2:17" ht="17.25" customHeight="1">
      <c r="B46" s="779"/>
      <c r="C46" s="780"/>
      <c r="D46" s="781"/>
      <c r="E46" s="128" t="s">
        <v>69</v>
      </c>
      <c r="F46" s="432">
        <v>0</v>
      </c>
      <c r="G46" s="432"/>
      <c r="H46" s="433"/>
      <c r="I46" s="128" t="s">
        <v>69</v>
      </c>
      <c r="J46" s="434">
        <v>0</v>
      </c>
      <c r="K46" s="434"/>
      <c r="L46" s="435"/>
      <c r="M46" s="20" t="s">
        <v>86</v>
      </c>
      <c r="N46" s="20" t="s">
        <v>87</v>
      </c>
      <c r="O46" s="124"/>
    </row>
    <row r="47" spans="2:17" ht="17.25" customHeight="1">
      <c r="B47" s="390" t="s">
        <v>81</v>
      </c>
      <c r="C47" s="391"/>
      <c r="D47" s="392"/>
      <c r="E47" s="128" t="s">
        <v>72</v>
      </c>
      <c r="F47" s="396">
        <v>0</v>
      </c>
      <c r="G47" s="396"/>
      <c r="H47" s="397"/>
      <c r="I47" s="401" t="s">
        <v>82</v>
      </c>
      <c r="J47" s="402"/>
      <c r="K47" s="402"/>
      <c r="L47" s="403"/>
      <c r="M47" s="407" t="s">
        <v>174</v>
      </c>
      <c r="N47" s="407" t="s">
        <v>88</v>
      </c>
      <c r="O47" s="124"/>
    </row>
    <row r="48" spans="2:17" ht="17.25" customHeight="1">
      <c r="B48" s="390"/>
      <c r="C48" s="391"/>
      <c r="D48" s="392"/>
      <c r="E48" s="128" t="s">
        <v>73</v>
      </c>
      <c r="F48" s="409">
        <v>0</v>
      </c>
      <c r="G48" s="409"/>
      <c r="H48" s="410"/>
      <c r="I48" s="401"/>
      <c r="J48" s="402"/>
      <c r="K48" s="402"/>
      <c r="L48" s="403"/>
      <c r="M48" s="407"/>
      <c r="N48" s="407"/>
      <c r="O48" s="124"/>
    </row>
    <row r="49" spans="1:15" ht="17.25" customHeight="1">
      <c r="B49" s="390"/>
      <c r="C49" s="391"/>
      <c r="D49" s="392"/>
      <c r="E49" s="128" t="s">
        <v>76</v>
      </c>
      <c r="F49" s="411">
        <v>0</v>
      </c>
      <c r="G49" s="411"/>
      <c r="H49" s="412"/>
      <c r="I49" s="401"/>
      <c r="J49" s="402"/>
      <c r="K49" s="402"/>
      <c r="L49" s="403"/>
      <c r="M49" s="407"/>
      <c r="N49" s="407"/>
      <c r="O49" s="124"/>
    </row>
    <row r="50" spans="1:15" ht="17.25" customHeight="1">
      <c r="B50" s="393"/>
      <c r="C50" s="394"/>
      <c r="D50" s="395"/>
      <c r="E50" s="128" t="s">
        <v>77</v>
      </c>
      <c r="F50" s="413">
        <v>0</v>
      </c>
      <c r="G50" s="413"/>
      <c r="H50" s="414"/>
      <c r="I50" s="404"/>
      <c r="J50" s="405"/>
      <c r="K50" s="405"/>
      <c r="L50" s="406"/>
      <c r="M50" s="357" t="s">
        <v>419</v>
      </c>
      <c r="N50" s="357" t="s">
        <v>90</v>
      </c>
      <c r="O50" s="124"/>
    </row>
    <row r="51" spans="1:15" ht="17.25" customHeight="1">
      <c r="B51" s="443" t="s">
        <v>91</v>
      </c>
      <c r="C51" s="444"/>
      <c r="D51" s="445"/>
      <c r="E51" s="452">
        <v>0</v>
      </c>
      <c r="F51" s="453"/>
      <c r="G51" s="453"/>
      <c r="H51" s="454"/>
      <c r="I51" s="455">
        <v>0</v>
      </c>
      <c r="J51" s="456"/>
      <c r="K51" s="456"/>
      <c r="L51" s="457"/>
      <c r="M51" s="427"/>
      <c r="N51" s="357"/>
      <c r="O51" s="124"/>
    </row>
    <row r="52" spans="1:15" ht="17.25" customHeight="1">
      <c r="B52" s="446"/>
      <c r="C52" s="447"/>
      <c r="D52" s="448"/>
      <c r="E52" s="129" t="s">
        <v>66</v>
      </c>
      <c r="F52" s="468">
        <v>0</v>
      </c>
      <c r="G52" s="468"/>
      <c r="H52" s="469"/>
      <c r="I52" s="127" t="s">
        <v>66</v>
      </c>
      <c r="J52" s="471">
        <v>0</v>
      </c>
      <c r="K52" s="646"/>
      <c r="L52" s="646"/>
      <c r="M52" s="24"/>
      <c r="N52" s="21"/>
      <c r="O52" s="124"/>
    </row>
    <row r="53" spans="1:15" ht="17.25" customHeight="1">
      <c r="B53" s="446"/>
      <c r="C53" s="447"/>
      <c r="D53" s="448"/>
      <c r="E53" s="129" t="s">
        <v>69</v>
      </c>
      <c r="F53" s="472">
        <v>0</v>
      </c>
      <c r="G53" s="472"/>
      <c r="H53" s="473"/>
      <c r="I53" s="474" t="s">
        <v>418</v>
      </c>
      <c r="J53" s="659"/>
      <c r="K53" s="659"/>
      <c r="L53" s="660"/>
      <c r="M53" s="407" t="s">
        <v>186</v>
      </c>
      <c r="N53" s="408" t="s">
        <v>92</v>
      </c>
      <c r="O53" s="124"/>
    </row>
    <row r="54" spans="1:15" ht="17.25" customHeight="1">
      <c r="B54" s="446"/>
      <c r="C54" s="447"/>
      <c r="D54" s="448"/>
      <c r="E54" s="129" t="s">
        <v>72</v>
      </c>
      <c r="F54" s="483">
        <v>0</v>
      </c>
      <c r="G54" s="483"/>
      <c r="H54" s="484"/>
      <c r="I54" s="477"/>
      <c r="J54" s="661"/>
      <c r="K54" s="661"/>
      <c r="L54" s="662"/>
      <c r="M54" s="407"/>
      <c r="N54" s="408"/>
      <c r="O54" s="124"/>
    </row>
    <row r="55" spans="1:15" ht="17.25" customHeight="1">
      <c r="B55" s="446"/>
      <c r="C55" s="447"/>
      <c r="D55" s="448"/>
      <c r="E55" s="129" t="s">
        <v>73</v>
      </c>
      <c r="F55" s="436">
        <v>0</v>
      </c>
      <c r="G55" s="436"/>
      <c r="H55" s="437"/>
      <c r="I55" s="477"/>
      <c r="J55" s="661"/>
      <c r="K55" s="661"/>
      <c r="L55" s="662"/>
      <c r="M55" s="357" t="s">
        <v>187</v>
      </c>
      <c r="N55" s="26"/>
      <c r="O55" s="124"/>
    </row>
    <row r="56" spans="1:15" ht="17.25" customHeight="1">
      <c r="B56" s="449"/>
      <c r="C56" s="450"/>
      <c r="D56" s="451"/>
      <c r="E56" s="129" t="s">
        <v>76</v>
      </c>
      <c r="F56" s="485">
        <v>0</v>
      </c>
      <c r="G56" s="485"/>
      <c r="H56" s="486"/>
      <c r="I56" s="663"/>
      <c r="J56" s="664"/>
      <c r="K56" s="664"/>
      <c r="L56" s="665"/>
      <c r="M56" s="427"/>
      <c r="N56" s="26"/>
      <c r="O56" s="124"/>
    </row>
    <row r="57" spans="1:15" ht="17.25" customHeight="1">
      <c r="B57" s="367" t="s">
        <v>93</v>
      </c>
      <c r="C57" s="368"/>
      <c r="D57" s="369"/>
      <c r="E57" s="373">
        <v>0</v>
      </c>
      <c r="F57" s="374"/>
      <c r="G57" s="374"/>
      <c r="H57" s="375"/>
      <c r="I57" s="376">
        <v>0</v>
      </c>
      <c r="J57" s="377"/>
      <c r="K57" s="377"/>
      <c r="L57" s="378"/>
      <c r="M57" s="23"/>
      <c r="N57" s="22"/>
      <c r="O57" s="124"/>
    </row>
    <row r="58" spans="1:15" ht="17.25" customHeight="1">
      <c r="B58" s="370"/>
      <c r="C58" s="371"/>
      <c r="D58" s="372"/>
      <c r="E58" s="341" t="s">
        <v>182</v>
      </c>
      <c r="F58" s="342"/>
      <c r="G58" s="342"/>
      <c r="H58" s="343"/>
      <c r="I58" s="40" t="s">
        <v>66</v>
      </c>
      <c r="J58" s="379">
        <v>0</v>
      </c>
      <c r="K58" s="379"/>
      <c r="L58" s="380"/>
      <c r="M58" s="23" t="s">
        <v>94</v>
      </c>
      <c r="N58" s="26"/>
      <c r="O58" s="124"/>
    </row>
    <row r="59" spans="1:15" ht="17.25" customHeight="1">
      <c r="B59" s="381" t="s">
        <v>181</v>
      </c>
      <c r="C59" s="382"/>
      <c r="D59" s="383"/>
      <c r="E59" s="344"/>
      <c r="F59" s="345"/>
      <c r="G59" s="345"/>
      <c r="H59" s="346"/>
      <c r="I59" s="62" t="s">
        <v>69</v>
      </c>
      <c r="J59" s="388" t="s">
        <v>180</v>
      </c>
      <c r="K59" s="388"/>
      <c r="L59" s="389"/>
      <c r="M59" s="357" t="s">
        <v>95</v>
      </c>
      <c r="N59" s="26"/>
      <c r="O59" s="124"/>
    </row>
    <row r="60" spans="1:15" ht="17.25" customHeight="1">
      <c r="B60" s="384"/>
      <c r="C60" s="382"/>
      <c r="D60" s="383"/>
      <c r="E60" s="347" t="s">
        <v>183</v>
      </c>
      <c r="F60" s="348"/>
      <c r="G60" s="348"/>
      <c r="H60" s="349"/>
      <c r="I60" s="63"/>
      <c r="J60" s="350" t="s">
        <v>185</v>
      </c>
      <c r="K60" s="350"/>
      <c r="L60" s="351"/>
      <c r="M60" s="427"/>
      <c r="N60" s="22"/>
      <c r="O60" s="124"/>
    </row>
    <row r="61" spans="1:15" ht="17.25" customHeight="1">
      <c r="B61" s="385"/>
      <c r="C61" s="386"/>
      <c r="D61" s="387"/>
      <c r="E61" s="347" t="s">
        <v>184</v>
      </c>
      <c r="F61" s="348"/>
      <c r="G61" s="348"/>
      <c r="H61" s="349"/>
      <c r="I61" s="64"/>
      <c r="J61" s="352" t="s">
        <v>188</v>
      </c>
      <c r="K61" s="352"/>
      <c r="L61" s="353"/>
      <c r="M61" s="27"/>
      <c r="N61" s="27"/>
      <c r="O61" s="124"/>
    </row>
    <row r="62" spans="1:15" ht="17.25" customHeight="1">
      <c r="B62" s="358" t="s">
        <v>96</v>
      </c>
      <c r="C62" s="359"/>
      <c r="D62" s="360"/>
      <c r="E62" s="361">
        <v>0</v>
      </c>
      <c r="F62" s="362"/>
      <c r="G62" s="362"/>
      <c r="H62" s="363"/>
      <c r="I62" s="364">
        <v>0</v>
      </c>
      <c r="J62" s="365"/>
      <c r="K62" s="365"/>
      <c r="L62" s="366"/>
      <c r="M62" s="28" t="s">
        <v>97</v>
      </c>
      <c r="N62" s="28" t="s">
        <v>98</v>
      </c>
    </row>
    <row r="63" spans="1:15" ht="17.25" customHeight="1">
      <c r="A63" s="45" t="s">
        <v>135</v>
      </c>
      <c r="E63" s="39"/>
      <c r="I63" s="39"/>
      <c r="O63" s="45" t="s">
        <v>136</v>
      </c>
    </row>
    <row r="64" spans="1:15" ht="17.25" customHeight="1">
      <c r="B64" s="354" t="s">
        <v>420</v>
      </c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  <c r="N64" s="356"/>
    </row>
    <row r="65" spans="2:14" ht="17.25" customHeight="1">
      <c r="B65" s="310" t="s">
        <v>167</v>
      </c>
      <c r="C65" s="311"/>
      <c r="D65" s="311"/>
      <c r="E65" s="311"/>
      <c r="F65" s="311"/>
      <c r="G65" s="311"/>
      <c r="H65" s="311"/>
      <c r="I65" s="311"/>
      <c r="J65" s="311"/>
      <c r="K65" s="311"/>
      <c r="L65" s="311"/>
      <c r="M65" s="311"/>
      <c r="N65" s="312"/>
    </row>
    <row r="66" spans="2:14" ht="17.25" customHeight="1">
      <c r="B66" s="602" t="s">
        <v>64</v>
      </c>
      <c r="C66" s="602"/>
      <c r="D66" s="602"/>
      <c r="E66" s="313" t="s">
        <v>53</v>
      </c>
      <c r="F66" s="314"/>
      <c r="G66" s="314"/>
      <c r="H66" s="315"/>
      <c r="I66" s="130"/>
      <c r="J66" s="315" t="s">
        <v>54</v>
      </c>
      <c r="K66" s="602"/>
      <c r="L66" s="602"/>
      <c r="M66" s="29" t="s">
        <v>55</v>
      </c>
      <c r="N66" s="131" t="s">
        <v>56</v>
      </c>
    </row>
    <row r="67" spans="2:14" ht="17.25" customHeight="1">
      <c r="B67" s="629" t="s">
        <v>99</v>
      </c>
      <c r="C67" s="629"/>
      <c r="D67" s="629"/>
      <c r="E67" s="325">
        <v>0</v>
      </c>
      <c r="F67" s="326"/>
      <c r="G67" s="326"/>
      <c r="H67" s="327"/>
      <c r="I67" s="328">
        <v>0</v>
      </c>
      <c r="J67" s="329"/>
      <c r="K67" s="329"/>
      <c r="L67" s="330"/>
      <c r="M67" s="630" t="s">
        <v>100</v>
      </c>
      <c r="N67" s="633" t="s">
        <v>100</v>
      </c>
    </row>
    <row r="68" spans="2:14" ht="17.25" customHeight="1">
      <c r="B68" s="629"/>
      <c r="C68" s="629"/>
      <c r="D68" s="629"/>
      <c r="E68" s="36" t="s">
        <v>66</v>
      </c>
      <c r="F68" s="300">
        <v>0</v>
      </c>
      <c r="G68" s="300"/>
      <c r="H68" s="301"/>
      <c r="I68" s="36" t="s">
        <v>66</v>
      </c>
      <c r="J68" s="302" t="s">
        <v>129</v>
      </c>
      <c r="K68" s="302"/>
      <c r="L68" s="303"/>
      <c r="M68" s="631"/>
      <c r="N68" s="633"/>
    </row>
    <row r="69" spans="2:14" ht="17.25" customHeight="1">
      <c r="B69" s="629"/>
      <c r="C69" s="629"/>
      <c r="D69" s="629"/>
      <c r="E69" s="36" t="s">
        <v>69</v>
      </c>
      <c r="F69" s="304">
        <v>0</v>
      </c>
      <c r="G69" s="304"/>
      <c r="H69" s="305"/>
      <c r="I69" s="36" t="s">
        <v>69</v>
      </c>
      <c r="J69" s="302" t="s">
        <v>130</v>
      </c>
      <c r="K69" s="302"/>
      <c r="L69" s="303"/>
      <c r="M69" s="631"/>
      <c r="N69" s="633"/>
    </row>
    <row r="70" spans="2:14" ht="17.25" customHeight="1">
      <c r="B70" s="629"/>
      <c r="C70" s="629"/>
      <c r="D70" s="629"/>
      <c r="E70" s="36" t="s">
        <v>72</v>
      </c>
      <c r="F70" s="306">
        <v>0</v>
      </c>
      <c r="G70" s="306"/>
      <c r="H70" s="307"/>
      <c r="I70" s="36" t="s">
        <v>72</v>
      </c>
      <c r="J70" s="308">
        <v>0</v>
      </c>
      <c r="K70" s="308"/>
      <c r="L70" s="309"/>
      <c r="M70" s="631"/>
      <c r="N70" s="633"/>
    </row>
    <row r="71" spans="2:14" ht="17.25" customHeight="1">
      <c r="B71" s="629"/>
      <c r="C71" s="629"/>
      <c r="D71" s="629"/>
      <c r="E71" s="36" t="s">
        <v>73</v>
      </c>
      <c r="F71" s="337">
        <v>0</v>
      </c>
      <c r="G71" s="337"/>
      <c r="H71" s="338"/>
      <c r="I71" s="36" t="s">
        <v>73</v>
      </c>
      <c r="J71" s="339">
        <v>0</v>
      </c>
      <c r="K71" s="339"/>
      <c r="L71" s="340"/>
      <c r="M71" s="631"/>
      <c r="N71" s="633"/>
    </row>
    <row r="72" spans="2:14" ht="17.25" customHeight="1">
      <c r="B72" s="629"/>
      <c r="C72" s="629"/>
      <c r="D72" s="629"/>
      <c r="E72" s="36" t="s">
        <v>76</v>
      </c>
      <c r="F72" s="285">
        <v>0</v>
      </c>
      <c r="G72" s="285"/>
      <c r="H72" s="286"/>
      <c r="I72" s="287" t="s">
        <v>101</v>
      </c>
      <c r="J72" s="288"/>
      <c r="K72" s="288"/>
      <c r="L72" s="289"/>
      <c r="M72" s="631"/>
      <c r="N72" s="633"/>
    </row>
    <row r="73" spans="2:14" ht="17.25" customHeight="1">
      <c r="B73" s="629"/>
      <c r="C73" s="629"/>
      <c r="D73" s="629"/>
      <c r="E73" s="36" t="s">
        <v>77</v>
      </c>
      <c r="F73" s="296">
        <v>0</v>
      </c>
      <c r="G73" s="296"/>
      <c r="H73" s="297"/>
      <c r="I73" s="290"/>
      <c r="J73" s="291"/>
      <c r="K73" s="291"/>
      <c r="L73" s="292"/>
      <c r="M73" s="631"/>
      <c r="N73" s="633"/>
    </row>
    <row r="74" spans="2:14" ht="17.25" customHeight="1">
      <c r="B74" s="629"/>
      <c r="C74" s="629"/>
      <c r="D74" s="629"/>
      <c r="E74" s="36" t="s">
        <v>78</v>
      </c>
      <c r="F74" s="298">
        <v>0</v>
      </c>
      <c r="G74" s="298"/>
      <c r="H74" s="299"/>
      <c r="I74" s="293"/>
      <c r="J74" s="294"/>
      <c r="K74" s="294"/>
      <c r="L74" s="295"/>
      <c r="M74" s="631"/>
      <c r="N74" s="633"/>
    </row>
    <row r="75" spans="2:14" ht="17.25" customHeight="1">
      <c r="B75" s="628" t="s">
        <v>102</v>
      </c>
      <c r="C75" s="628"/>
      <c r="D75" s="628"/>
      <c r="E75" s="258">
        <v>0</v>
      </c>
      <c r="F75" s="259"/>
      <c r="G75" s="259"/>
      <c r="H75" s="260"/>
      <c r="I75" s="261">
        <v>0</v>
      </c>
      <c r="J75" s="262"/>
      <c r="K75" s="262"/>
      <c r="L75" s="263"/>
      <c r="M75" s="631"/>
      <c r="N75" s="633"/>
    </row>
    <row r="76" spans="2:14" ht="17.25" customHeight="1">
      <c r="B76" s="628"/>
      <c r="C76" s="628"/>
      <c r="D76" s="628"/>
      <c r="E76" s="37" t="s">
        <v>66</v>
      </c>
      <c r="F76" s="264">
        <v>0</v>
      </c>
      <c r="G76" s="264"/>
      <c r="H76" s="265"/>
      <c r="I76" s="37" t="s">
        <v>66</v>
      </c>
      <c r="J76" s="266">
        <v>0</v>
      </c>
      <c r="K76" s="266"/>
      <c r="L76" s="267"/>
      <c r="M76" s="631"/>
      <c r="N76" s="633"/>
    </row>
    <row r="77" spans="2:14" ht="17.25" customHeight="1">
      <c r="B77" s="628"/>
      <c r="C77" s="628"/>
      <c r="D77" s="628"/>
      <c r="E77" s="37" t="s">
        <v>69</v>
      </c>
      <c r="F77" s="268">
        <v>0</v>
      </c>
      <c r="G77" s="268"/>
      <c r="H77" s="269"/>
      <c r="I77" s="270" t="s">
        <v>103</v>
      </c>
      <c r="J77" s="271"/>
      <c r="K77" s="271"/>
      <c r="L77" s="272"/>
      <c r="M77" s="631"/>
      <c r="N77" s="633"/>
    </row>
    <row r="78" spans="2:14" ht="17.25" customHeight="1">
      <c r="B78" s="628"/>
      <c r="C78" s="628"/>
      <c r="D78" s="628"/>
      <c r="E78" s="37" t="s">
        <v>72</v>
      </c>
      <c r="F78" s="279">
        <v>0</v>
      </c>
      <c r="G78" s="279"/>
      <c r="H78" s="280"/>
      <c r="I78" s="273"/>
      <c r="J78" s="274"/>
      <c r="K78" s="274"/>
      <c r="L78" s="275"/>
      <c r="M78" s="631"/>
      <c r="N78" s="633"/>
    </row>
    <row r="79" spans="2:14" ht="17.25" customHeight="1">
      <c r="B79" s="628"/>
      <c r="C79" s="628"/>
      <c r="D79" s="628"/>
      <c r="E79" s="37" t="s">
        <v>73</v>
      </c>
      <c r="F79" s="281">
        <v>0</v>
      </c>
      <c r="G79" s="281"/>
      <c r="H79" s="282"/>
      <c r="I79" s="273"/>
      <c r="J79" s="274"/>
      <c r="K79" s="274"/>
      <c r="L79" s="275"/>
      <c r="M79" s="631"/>
      <c r="N79" s="633"/>
    </row>
    <row r="80" spans="2:14" ht="17.25" customHeight="1">
      <c r="B80" s="628"/>
      <c r="C80" s="628"/>
      <c r="D80" s="628"/>
      <c r="E80" s="37" t="s">
        <v>76</v>
      </c>
      <c r="F80" s="283">
        <v>0</v>
      </c>
      <c r="G80" s="283"/>
      <c r="H80" s="284"/>
      <c r="I80" s="276"/>
      <c r="J80" s="277"/>
      <c r="K80" s="277"/>
      <c r="L80" s="278"/>
      <c r="M80" s="631"/>
      <c r="N80" s="633"/>
    </row>
    <row r="81" spans="1:15" ht="17.25" customHeight="1">
      <c r="B81" s="627" t="s">
        <v>104</v>
      </c>
      <c r="C81" s="627"/>
      <c r="D81" s="627"/>
      <c r="E81" s="222">
        <v>0</v>
      </c>
      <c r="F81" s="223"/>
      <c r="G81" s="223"/>
      <c r="H81" s="224"/>
      <c r="I81" s="225">
        <v>0</v>
      </c>
      <c r="J81" s="226"/>
      <c r="K81" s="226"/>
      <c r="L81" s="227"/>
      <c r="M81" s="631"/>
      <c r="N81" s="633"/>
    </row>
    <row r="82" spans="1:15" ht="17.25" customHeight="1">
      <c r="B82" s="627"/>
      <c r="C82" s="627"/>
      <c r="D82" s="627"/>
      <c r="E82" s="38" t="s">
        <v>66</v>
      </c>
      <c r="F82" s="228">
        <v>0</v>
      </c>
      <c r="G82" s="228"/>
      <c r="H82" s="229"/>
      <c r="I82" s="42" t="s">
        <v>66</v>
      </c>
      <c r="J82" s="230">
        <v>0</v>
      </c>
      <c r="K82" s="230"/>
      <c r="L82" s="231"/>
      <c r="M82" s="631"/>
      <c r="N82" s="633"/>
    </row>
    <row r="83" spans="1:15" ht="17.25" customHeight="1">
      <c r="B83" s="627"/>
      <c r="C83" s="627"/>
      <c r="D83" s="627"/>
      <c r="E83" s="38" t="s">
        <v>69</v>
      </c>
      <c r="F83" s="232">
        <v>0</v>
      </c>
      <c r="G83" s="232"/>
      <c r="H83" s="233"/>
      <c r="I83" s="234" t="s">
        <v>105</v>
      </c>
      <c r="J83" s="235"/>
      <c r="K83" s="235"/>
      <c r="L83" s="236"/>
      <c r="M83" s="631"/>
      <c r="N83" s="633"/>
    </row>
    <row r="84" spans="1:15" ht="17.25" customHeight="1">
      <c r="B84" s="627"/>
      <c r="C84" s="627"/>
      <c r="D84" s="627"/>
      <c r="E84" s="38" t="s">
        <v>72</v>
      </c>
      <c r="F84" s="243">
        <v>0</v>
      </c>
      <c r="G84" s="243"/>
      <c r="H84" s="244"/>
      <c r="I84" s="237"/>
      <c r="J84" s="238"/>
      <c r="K84" s="238"/>
      <c r="L84" s="239"/>
      <c r="M84" s="631"/>
      <c r="N84" s="633"/>
    </row>
    <row r="85" spans="1:15" ht="17.25" customHeight="1">
      <c r="B85" s="627"/>
      <c r="C85" s="627"/>
      <c r="D85" s="627"/>
      <c r="E85" s="38" t="s">
        <v>73</v>
      </c>
      <c r="F85" s="245">
        <v>0</v>
      </c>
      <c r="G85" s="245"/>
      <c r="H85" s="246"/>
      <c r="I85" s="237"/>
      <c r="J85" s="238"/>
      <c r="K85" s="238"/>
      <c r="L85" s="239"/>
      <c r="M85" s="631"/>
      <c r="N85" s="633"/>
    </row>
    <row r="86" spans="1:15" ht="17.25" customHeight="1">
      <c r="B86" s="627"/>
      <c r="C86" s="627"/>
      <c r="D86" s="627"/>
      <c r="E86" s="38" t="s">
        <v>76</v>
      </c>
      <c r="F86" s="247">
        <v>0</v>
      </c>
      <c r="G86" s="247"/>
      <c r="H86" s="248"/>
      <c r="I86" s="240"/>
      <c r="J86" s="241"/>
      <c r="K86" s="241"/>
      <c r="L86" s="242"/>
      <c r="M86" s="631"/>
      <c r="N86" s="633"/>
    </row>
    <row r="87" spans="1:15" ht="17.25" customHeight="1">
      <c r="B87" s="179" t="s">
        <v>155</v>
      </c>
      <c r="C87" s="180"/>
      <c r="D87" s="181"/>
      <c r="E87" s="185">
        <v>0</v>
      </c>
      <c r="F87" s="186"/>
      <c r="G87" s="186"/>
      <c r="H87" s="187"/>
      <c r="I87" s="188">
        <v>0</v>
      </c>
      <c r="J87" s="189"/>
      <c r="K87" s="189"/>
      <c r="L87" s="190"/>
      <c r="M87" s="631"/>
      <c r="N87" s="633"/>
    </row>
    <row r="88" spans="1:15" ht="17.25" customHeight="1">
      <c r="B88" s="182"/>
      <c r="C88" s="183"/>
      <c r="D88" s="184"/>
      <c r="E88" s="202" t="s">
        <v>182</v>
      </c>
      <c r="F88" s="203"/>
      <c r="G88" s="203"/>
      <c r="H88" s="204"/>
      <c r="I88" s="65" t="s">
        <v>66</v>
      </c>
      <c r="J88" s="191">
        <v>0</v>
      </c>
      <c r="K88" s="191"/>
      <c r="L88" s="192"/>
      <c r="M88" s="631"/>
      <c r="N88" s="633"/>
    </row>
    <row r="89" spans="1:15" ht="17.25" customHeight="1">
      <c r="B89" s="193" t="s">
        <v>181</v>
      </c>
      <c r="C89" s="194"/>
      <c r="D89" s="195"/>
      <c r="E89" s="205"/>
      <c r="F89" s="206"/>
      <c r="G89" s="206"/>
      <c r="H89" s="207"/>
      <c r="I89" s="66" t="s">
        <v>69</v>
      </c>
      <c r="J89" s="200" t="s">
        <v>180</v>
      </c>
      <c r="K89" s="200"/>
      <c r="L89" s="201"/>
      <c r="M89" s="631"/>
      <c r="N89" s="633"/>
    </row>
    <row r="90" spans="1:15" ht="17.25" customHeight="1">
      <c r="B90" s="196"/>
      <c r="C90" s="194"/>
      <c r="D90" s="195"/>
      <c r="E90" s="208" t="s">
        <v>183</v>
      </c>
      <c r="F90" s="209"/>
      <c r="G90" s="209"/>
      <c r="H90" s="210"/>
      <c r="I90" s="67"/>
      <c r="J90" s="211" t="s">
        <v>185</v>
      </c>
      <c r="K90" s="211"/>
      <c r="L90" s="212"/>
      <c r="M90" s="631"/>
      <c r="N90" s="633"/>
    </row>
    <row r="91" spans="1:15" ht="17.25" customHeight="1">
      <c r="B91" s="197"/>
      <c r="C91" s="198"/>
      <c r="D91" s="199"/>
      <c r="E91" s="208" t="s">
        <v>184</v>
      </c>
      <c r="F91" s="209"/>
      <c r="G91" s="209"/>
      <c r="H91" s="210"/>
      <c r="I91" s="68"/>
      <c r="J91" s="168" t="s">
        <v>188</v>
      </c>
      <c r="K91" s="168"/>
      <c r="L91" s="169"/>
      <c r="M91" s="632"/>
      <c r="N91" s="633"/>
    </row>
    <row r="92" spans="1:15" ht="17.25" customHeight="1">
      <c r="B92" s="625" t="s">
        <v>106</v>
      </c>
      <c r="C92" s="625"/>
      <c r="D92" s="625"/>
      <c r="E92" s="173">
        <v>0</v>
      </c>
      <c r="F92" s="174"/>
      <c r="G92" s="174"/>
      <c r="H92" s="175"/>
      <c r="I92" s="176">
        <v>0</v>
      </c>
      <c r="J92" s="177"/>
      <c r="K92" s="177"/>
      <c r="L92" s="178"/>
      <c r="M92" s="31" t="s">
        <v>97</v>
      </c>
      <c r="N92" s="31" t="s">
        <v>98</v>
      </c>
    </row>
    <row r="93" spans="1:15" ht="17.25" customHeight="1">
      <c r="A93" s="45" t="s">
        <v>135</v>
      </c>
      <c r="E93" s="39"/>
      <c r="I93" s="39"/>
      <c r="O93" s="45" t="s">
        <v>136</v>
      </c>
    </row>
    <row r="94" spans="1:15" ht="17.25" customHeight="1">
      <c r="B94" s="626" t="s">
        <v>107</v>
      </c>
      <c r="C94" s="626"/>
      <c r="D94" s="626"/>
      <c r="E94" s="626"/>
      <c r="F94" s="626"/>
      <c r="G94" s="626"/>
      <c r="H94" s="626"/>
      <c r="I94" s="626"/>
      <c r="J94" s="626"/>
      <c r="K94" s="626"/>
      <c r="L94" s="626"/>
      <c r="M94" s="626"/>
      <c r="N94" s="626"/>
    </row>
    <row r="95" spans="1:15" ht="17.25" customHeight="1">
      <c r="B95" s="623" t="s">
        <v>108</v>
      </c>
      <c r="C95" s="623"/>
      <c r="D95" s="623"/>
      <c r="E95" s="624" t="s">
        <v>62</v>
      </c>
      <c r="F95" s="624"/>
      <c r="G95" s="624"/>
      <c r="H95" s="624"/>
      <c r="I95" s="624"/>
      <c r="J95" s="624"/>
      <c r="K95" s="624"/>
      <c r="L95" s="624"/>
      <c r="M95" s="624"/>
      <c r="N95" s="624"/>
    </row>
    <row r="96" spans="1:15" ht="17.25" customHeight="1">
      <c r="B96" s="623" t="s">
        <v>109</v>
      </c>
      <c r="C96" s="623"/>
      <c r="D96" s="623"/>
      <c r="E96" s="624" t="s">
        <v>110</v>
      </c>
      <c r="F96" s="624"/>
      <c r="G96" s="624"/>
      <c r="H96" s="624"/>
      <c r="I96" s="624"/>
      <c r="J96" s="624"/>
      <c r="K96" s="624"/>
      <c r="L96" s="624"/>
      <c r="M96" s="624"/>
      <c r="N96" s="624"/>
    </row>
    <row r="97" spans="1:15" ht="17.25" customHeight="1">
      <c r="B97" s="623" t="s">
        <v>111</v>
      </c>
      <c r="C97" s="623"/>
      <c r="D97" s="623"/>
      <c r="E97" s="782" t="s">
        <v>112</v>
      </c>
      <c r="F97" s="782"/>
      <c r="G97" s="782"/>
      <c r="H97" s="782"/>
      <c r="I97" s="782"/>
      <c r="J97" s="782"/>
      <c r="K97" s="782"/>
      <c r="L97" s="782"/>
      <c r="M97" s="782"/>
      <c r="N97" s="782"/>
    </row>
    <row r="98" spans="1:15" ht="17.25" customHeight="1">
      <c r="B98" s="623" t="s">
        <v>113</v>
      </c>
      <c r="C98" s="623"/>
      <c r="D98" s="623"/>
      <c r="E98" s="624" t="s">
        <v>158</v>
      </c>
      <c r="F98" s="624"/>
      <c r="G98" s="624"/>
      <c r="H98" s="624"/>
      <c r="I98" s="624"/>
      <c r="J98" s="624"/>
      <c r="K98" s="624"/>
      <c r="L98" s="624"/>
      <c r="M98" s="624"/>
      <c r="N98" s="624"/>
    </row>
    <row r="99" spans="1:15" ht="17.25" customHeight="1">
      <c r="A99" s="45" t="s">
        <v>135</v>
      </c>
      <c r="E99" s="39"/>
      <c r="I99" s="39"/>
      <c r="O99" s="45" t="s">
        <v>136</v>
      </c>
    </row>
    <row r="100" spans="1:15" ht="17.25" customHeight="1">
      <c r="B100" s="598" t="s">
        <v>114</v>
      </c>
      <c r="C100" s="598"/>
      <c r="D100" s="598"/>
      <c r="E100" s="598"/>
      <c r="F100" s="598"/>
      <c r="G100" s="598"/>
      <c r="H100" s="598"/>
      <c r="I100" s="598"/>
      <c r="J100" s="598"/>
      <c r="K100" s="598"/>
      <c r="L100" s="598"/>
      <c r="M100" s="598"/>
      <c r="N100" s="598"/>
    </row>
    <row r="101" spans="1:15" ht="17.25" customHeight="1">
      <c r="B101" s="620" t="s">
        <v>115</v>
      </c>
      <c r="C101" s="620"/>
      <c r="D101" s="620"/>
      <c r="E101" s="163" t="s">
        <v>128</v>
      </c>
      <c r="F101" s="164"/>
      <c r="G101" s="164"/>
      <c r="H101" s="164"/>
      <c r="I101" s="164"/>
      <c r="J101" s="164"/>
      <c r="K101" s="164"/>
      <c r="L101" s="164"/>
      <c r="M101" s="164"/>
      <c r="N101" s="164"/>
    </row>
    <row r="102" spans="1:15" ht="17.25" customHeight="1">
      <c r="B102" s="142" t="s">
        <v>116</v>
      </c>
      <c r="C102" s="143"/>
      <c r="D102" s="144"/>
      <c r="E102" s="165" t="s">
        <v>117</v>
      </c>
      <c r="F102" s="166"/>
      <c r="G102" s="166"/>
      <c r="H102" s="166"/>
      <c r="I102" s="166"/>
      <c r="J102" s="166"/>
      <c r="K102" s="166"/>
      <c r="L102" s="166"/>
      <c r="M102" s="166"/>
      <c r="N102" s="167"/>
    </row>
    <row r="103" spans="1:15" ht="17.25" customHeight="1">
      <c r="B103" s="620" t="s">
        <v>118</v>
      </c>
      <c r="C103" s="620"/>
      <c r="D103" s="620"/>
      <c r="E103" s="621" t="s">
        <v>119</v>
      </c>
      <c r="F103" s="622"/>
      <c r="G103" s="622"/>
      <c r="H103" s="622"/>
      <c r="I103" s="622"/>
      <c r="J103" s="622"/>
      <c r="K103" s="622"/>
      <c r="L103" s="622"/>
      <c r="M103" s="622"/>
      <c r="N103" s="622"/>
    </row>
    <row r="104" spans="1:15" ht="17.25" customHeight="1">
      <c r="B104" s="619" t="s">
        <v>120</v>
      </c>
      <c r="C104" s="619"/>
      <c r="D104" s="619"/>
      <c r="E104" s="145" t="s">
        <v>159</v>
      </c>
      <c r="F104" s="146"/>
      <c r="G104" s="146"/>
      <c r="H104" s="146"/>
      <c r="I104" s="146"/>
      <c r="J104" s="146"/>
      <c r="K104" s="146"/>
      <c r="L104" s="146"/>
      <c r="M104" s="146"/>
      <c r="N104" s="147"/>
    </row>
  </sheetData>
  <mergeCells count="204">
    <mergeCell ref="B104:D104"/>
    <mergeCell ref="E104:N104"/>
    <mergeCell ref="B100:N100"/>
    <mergeCell ref="B101:D101"/>
    <mergeCell ref="E101:N101"/>
    <mergeCell ref="B102:D102"/>
    <mergeCell ref="E102:N102"/>
    <mergeCell ref="B103:D103"/>
    <mergeCell ref="E103:N103"/>
    <mergeCell ref="B96:D96"/>
    <mergeCell ref="E96:N96"/>
    <mergeCell ref="B97:D97"/>
    <mergeCell ref="E97:N97"/>
    <mergeCell ref="B98:D98"/>
    <mergeCell ref="E98:N98"/>
    <mergeCell ref="J91:L91"/>
    <mergeCell ref="B92:D92"/>
    <mergeCell ref="E92:H92"/>
    <mergeCell ref="I92:L92"/>
    <mergeCell ref="B94:N94"/>
    <mergeCell ref="B95:D95"/>
    <mergeCell ref="E95:N95"/>
    <mergeCell ref="B87:D88"/>
    <mergeCell ref="E87:H87"/>
    <mergeCell ref="I87:L87"/>
    <mergeCell ref="E88:H89"/>
    <mergeCell ref="J88:L88"/>
    <mergeCell ref="B89:D91"/>
    <mergeCell ref="J89:L89"/>
    <mergeCell ref="E90:H90"/>
    <mergeCell ref="J90:L90"/>
    <mergeCell ref="E91:H91"/>
    <mergeCell ref="I75:L75"/>
    <mergeCell ref="F76:H76"/>
    <mergeCell ref="J76:L76"/>
    <mergeCell ref="F77:H77"/>
    <mergeCell ref="I77:L80"/>
    <mergeCell ref="F78:H78"/>
    <mergeCell ref="F79:H79"/>
    <mergeCell ref="F80:H80"/>
    <mergeCell ref="B81:D86"/>
    <mergeCell ref="E81:H81"/>
    <mergeCell ref="I81:L81"/>
    <mergeCell ref="F82:H82"/>
    <mergeCell ref="J82:L82"/>
    <mergeCell ref="F83:H83"/>
    <mergeCell ref="I83:L86"/>
    <mergeCell ref="F84:H84"/>
    <mergeCell ref="F85:H85"/>
    <mergeCell ref="F86:H86"/>
    <mergeCell ref="B64:N64"/>
    <mergeCell ref="B65:N65"/>
    <mergeCell ref="B66:D66"/>
    <mergeCell ref="E66:H66"/>
    <mergeCell ref="J66:L66"/>
    <mergeCell ref="B67:D74"/>
    <mergeCell ref="E67:H67"/>
    <mergeCell ref="I67:L67"/>
    <mergeCell ref="M67:M91"/>
    <mergeCell ref="N67:N91"/>
    <mergeCell ref="F71:H71"/>
    <mergeCell ref="J71:L71"/>
    <mergeCell ref="F72:H72"/>
    <mergeCell ref="I72:L74"/>
    <mergeCell ref="F73:H73"/>
    <mergeCell ref="F74:H74"/>
    <mergeCell ref="F68:H68"/>
    <mergeCell ref="J68:L68"/>
    <mergeCell ref="F69:H69"/>
    <mergeCell ref="J69:L69"/>
    <mergeCell ref="F70:H70"/>
    <mergeCell ref="J70:L70"/>
    <mergeCell ref="B75:D80"/>
    <mergeCell ref="E75:H75"/>
    <mergeCell ref="M59:M60"/>
    <mergeCell ref="E60:H60"/>
    <mergeCell ref="J60:L60"/>
    <mergeCell ref="E61:H61"/>
    <mergeCell ref="J61:L61"/>
    <mergeCell ref="B62:D62"/>
    <mergeCell ref="E62:H62"/>
    <mergeCell ref="I62:L62"/>
    <mergeCell ref="B57:D58"/>
    <mergeCell ref="E57:H57"/>
    <mergeCell ref="I57:L57"/>
    <mergeCell ref="E58:H59"/>
    <mergeCell ref="J58:L58"/>
    <mergeCell ref="B59:D61"/>
    <mergeCell ref="J59:L59"/>
    <mergeCell ref="M53:M54"/>
    <mergeCell ref="N53:N54"/>
    <mergeCell ref="F54:H54"/>
    <mergeCell ref="F55:H55"/>
    <mergeCell ref="M55:M56"/>
    <mergeCell ref="F56:H56"/>
    <mergeCell ref="B51:D56"/>
    <mergeCell ref="E51:H51"/>
    <mergeCell ref="I51:L51"/>
    <mergeCell ref="F52:H52"/>
    <mergeCell ref="J52:L52"/>
    <mergeCell ref="F53:H53"/>
    <mergeCell ref="I53:L56"/>
    <mergeCell ref="N47:N49"/>
    <mergeCell ref="F48:H48"/>
    <mergeCell ref="F49:H49"/>
    <mergeCell ref="F50:H50"/>
    <mergeCell ref="M50:M51"/>
    <mergeCell ref="N50:N51"/>
    <mergeCell ref="I44:L44"/>
    <mergeCell ref="F45:H45"/>
    <mergeCell ref="J45:L45"/>
    <mergeCell ref="F46:H46"/>
    <mergeCell ref="J46:L46"/>
    <mergeCell ref="B47:D50"/>
    <mergeCell ref="F47:H47"/>
    <mergeCell ref="I47:L50"/>
    <mergeCell ref="B41:D43"/>
    <mergeCell ref="F41:H41"/>
    <mergeCell ref="I41:L41"/>
    <mergeCell ref="F42:H42"/>
    <mergeCell ref="I42:L42"/>
    <mergeCell ref="M42:M44"/>
    <mergeCell ref="F43:H43"/>
    <mergeCell ref="I43:L43"/>
    <mergeCell ref="B44:D46"/>
    <mergeCell ref="E44:H44"/>
    <mergeCell ref="M47:M49"/>
    <mergeCell ref="B38:D40"/>
    <mergeCell ref="E38:H38"/>
    <mergeCell ref="I38:L38"/>
    <mergeCell ref="J32:L32"/>
    <mergeCell ref="M32:M33"/>
    <mergeCell ref="N32:N33"/>
    <mergeCell ref="F33:H33"/>
    <mergeCell ref="J33:L33"/>
    <mergeCell ref="F34:H34"/>
    <mergeCell ref="J34:L34"/>
    <mergeCell ref="M34:M36"/>
    <mergeCell ref="N34:N36"/>
    <mergeCell ref="F35:H35"/>
    <mergeCell ref="M38:M40"/>
    <mergeCell ref="N38:N40"/>
    <mergeCell ref="F39:H39"/>
    <mergeCell ref="I39:L39"/>
    <mergeCell ref="F40:H40"/>
    <mergeCell ref="I40:L40"/>
    <mergeCell ref="I35:L37"/>
    <mergeCell ref="F36:H36"/>
    <mergeCell ref="F37:H37"/>
    <mergeCell ref="B28:N28"/>
    <mergeCell ref="B29:D29"/>
    <mergeCell ref="E29:H29"/>
    <mergeCell ref="I29:L29"/>
    <mergeCell ref="B30:D37"/>
    <mergeCell ref="E30:H30"/>
    <mergeCell ref="I30:L30"/>
    <mergeCell ref="F31:H31"/>
    <mergeCell ref="J31:L31"/>
    <mergeCell ref="F32:H32"/>
    <mergeCell ref="B24:B25"/>
    <mergeCell ref="C24:D24"/>
    <mergeCell ref="E24:N24"/>
    <mergeCell ref="C25:D25"/>
    <mergeCell ref="E25:N25"/>
    <mergeCell ref="B27:N27"/>
    <mergeCell ref="I22:J22"/>
    <mergeCell ref="M22:M23"/>
    <mergeCell ref="N22:N23"/>
    <mergeCell ref="C23:D23"/>
    <mergeCell ref="E23:F23"/>
    <mergeCell ref="I23:J23"/>
    <mergeCell ref="C19:C20"/>
    <mergeCell ref="E19:F19"/>
    <mergeCell ref="G19:N20"/>
    <mergeCell ref="E20:F20"/>
    <mergeCell ref="B21:B23"/>
    <mergeCell ref="C21:D21"/>
    <mergeCell ref="E21:H21"/>
    <mergeCell ref="I21:L21"/>
    <mergeCell ref="C22:D22"/>
    <mergeCell ref="E22:F22"/>
    <mergeCell ref="B13:B20"/>
    <mergeCell ref="C17:C18"/>
    <mergeCell ref="E17:F17"/>
    <mergeCell ref="G17:N18"/>
    <mergeCell ref="E18:F18"/>
    <mergeCell ref="C10:N10"/>
    <mergeCell ref="C11:N11"/>
    <mergeCell ref="C12:N12"/>
    <mergeCell ref="C13:C16"/>
    <mergeCell ref="E13:F13"/>
    <mergeCell ref="G13:N13"/>
    <mergeCell ref="E14:F14"/>
    <mergeCell ref="G14:N14"/>
    <mergeCell ref="E15:F15"/>
    <mergeCell ref="B4:N4"/>
    <mergeCell ref="C5:N5"/>
    <mergeCell ref="C6:N6"/>
    <mergeCell ref="C7:N7"/>
    <mergeCell ref="D8:N8"/>
    <mergeCell ref="C9:N9"/>
    <mergeCell ref="G15:N15"/>
    <mergeCell ref="E16:F16"/>
    <mergeCell ref="G16:N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9"/>
  <sheetViews>
    <sheetView tabSelected="1" topLeftCell="A7" workbookViewId="0">
      <selection activeCell="E31" sqref="E31"/>
    </sheetView>
  </sheetViews>
  <sheetFormatPr baseColWidth="10" defaultColWidth="27.6640625" defaultRowHeight="17.25" customHeight="1"/>
  <cols>
    <col min="1" max="1" width="3" style="45" customWidth="1"/>
    <col min="2" max="2" width="9.5" style="8" customWidth="1"/>
    <col min="3" max="3" width="8" style="8" customWidth="1"/>
    <col min="4" max="4" width="18.33203125" style="8" customWidth="1"/>
    <col min="5" max="5" width="2" style="39" customWidth="1"/>
    <col min="6" max="6" width="7.6640625" style="8" customWidth="1"/>
    <col min="7" max="7" width="14.6640625" style="8" customWidth="1"/>
    <col min="8" max="8" width="10.6640625" style="8" customWidth="1"/>
    <col min="9" max="9" width="2" style="39" customWidth="1"/>
    <col min="10" max="10" width="7.6640625" style="8" customWidth="1"/>
    <col min="11" max="11" width="14.6640625" style="8" customWidth="1"/>
    <col min="12" max="12" width="10.6640625" style="8" customWidth="1"/>
    <col min="13" max="14" width="33.83203125" style="8" customWidth="1"/>
    <col min="15" max="15" width="3" style="45" customWidth="1"/>
    <col min="16" max="20" width="9.33203125" style="8" customWidth="1"/>
    <col min="21" max="16384" width="27.6640625" style="8"/>
  </cols>
  <sheetData>
    <row r="1" spans="1:16" ht="17.25" customHeight="1">
      <c r="A1" s="61" t="s">
        <v>166</v>
      </c>
    </row>
    <row r="2" spans="1:16" ht="17.25" customHeight="1">
      <c r="A2" s="61" t="s">
        <v>165</v>
      </c>
    </row>
    <row r="4" spans="1:16" ht="17.25" customHeight="1">
      <c r="B4" s="587" t="s">
        <v>131</v>
      </c>
      <c r="C4" s="588"/>
      <c r="D4" s="588"/>
      <c r="E4" s="588"/>
      <c r="F4" s="588"/>
      <c r="G4" s="588"/>
      <c r="H4" s="588"/>
      <c r="I4" s="588"/>
      <c r="J4" s="588"/>
      <c r="K4" s="588"/>
      <c r="L4" s="588"/>
      <c r="M4" s="588"/>
      <c r="N4" s="589"/>
      <c r="O4" s="46"/>
      <c r="P4" s="43"/>
    </row>
    <row r="5" spans="1:16" ht="17.25" customHeight="1">
      <c r="B5" s="9" t="s">
        <v>29</v>
      </c>
      <c r="C5" s="590" t="s">
        <v>121</v>
      </c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47"/>
      <c r="P5" s="43"/>
    </row>
    <row r="6" spans="1:16" ht="17.25" customHeight="1">
      <c r="A6" s="45" t="s">
        <v>162</v>
      </c>
      <c r="B6" s="9" t="s">
        <v>30</v>
      </c>
      <c r="C6" s="591" t="s">
        <v>121</v>
      </c>
      <c r="D6" s="591"/>
      <c r="E6" s="591"/>
      <c r="F6" s="591"/>
      <c r="G6" s="591"/>
      <c r="H6" s="591"/>
      <c r="I6" s="591"/>
      <c r="J6" s="591"/>
      <c r="K6" s="591"/>
      <c r="L6" s="591"/>
      <c r="M6" s="591"/>
      <c r="N6" s="591"/>
      <c r="O6" s="48" t="s">
        <v>163</v>
      </c>
      <c r="P6" s="43"/>
    </row>
    <row r="7" spans="1:16" ht="17.25" customHeight="1">
      <c r="A7" s="45" t="s">
        <v>162</v>
      </c>
      <c r="B7" s="9" t="s">
        <v>31</v>
      </c>
      <c r="C7" s="592" t="s">
        <v>121</v>
      </c>
      <c r="D7" s="592"/>
      <c r="E7" s="592"/>
      <c r="F7" s="592"/>
      <c r="G7" s="592"/>
      <c r="H7" s="592"/>
      <c r="I7" s="592"/>
      <c r="J7" s="592"/>
      <c r="K7" s="592"/>
      <c r="L7" s="592"/>
      <c r="M7" s="592"/>
      <c r="N7" s="592"/>
      <c r="O7" s="49" t="s">
        <v>163</v>
      </c>
      <c r="P7" s="44"/>
    </row>
    <row r="8" spans="1:16" ht="17.25" customHeight="1">
      <c r="B8" s="9" t="s">
        <v>32</v>
      </c>
      <c r="C8" s="10" t="s">
        <v>121</v>
      </c>
      <c r="D8" s="593" t="s">
        <v>33</v>
      </c>
      <c r="E8" s="593"/>
      <c r="F8" s="593"/>
      <c r="G8" s="593"/>
      <c r="H8" s="593"/>
      <c r="I8" s="593"/>
      <c r="J8" s="593"/>
      <c r="K8" s="593"/>
      <c r="L8" s="593"/>
      <c r="M8" s="593"/>
      <c r="N8" s="594"/>
    </row>
    <row r="9" spans="1:16" ht="17.25" customHeight="1">
      <c r="B9" s="9" t="s">
        <v>34</v>
      </c>
      <c r="C9" s="595" t="s">
        <v>122</v>
      </c>
      <c r="D9" s="596"/>
      <c r="E9" s="596"/>
      <c r="F9" s="596"/>
      <c r="G9" s="596"/>
      <c r="H9" s="596"/>
      <c r="I9" s="596"/>
      <c r="J9" s="596"/>
      <c r="K9" s="596"/>
      <c r="L9" s="596"/>
      <c r="M9" s="596"/>
      <c r="N9" s="597"/>
      <c r="O9" s="49"/>
    </row>
    <row r="10" spans="1:16" ht="17.25" customHeight="1">
      <c r="B10" s="9" t="s">
        <v>35</v>
      </c>
      <c r="C10" s="572" t="s">
        <v>123</v>
      </c>
      <c r="D10" s="572"/>
      <c r="E10" s="572"/>
      <c r="F10" s="572"/>
      <c r="G10" s="572"/>
      <c r="H10" s="572"/>
      <c r="I10" s="572"/>
      <c r="J10" s="572"/>
      <c r="K10" s="572"/>
      <c r="L10" s="572"/>
      <c r="M10" s="572"/>
      <c r="N10" s="572"/>
      <c r="O10" s="50"/>
    </row>
    <row r="11" spans="1:16" ht="17.25" customHeight="1">
      <c r="B11" s="11" t="s">
        <v>36</v>
      </c>
      <c r="C11" s="573" t="s">
        <v>168</v>
      </c>
      <c r="D11" s="574"/>
      <c r="E11" s="574"/>
      <c r="F11" s="574"/>
      <c r="G11" s="574"/>
      <c r="H11" s="574"/>
      <c r="I11" s="574"/>
      <c r="J11" s="574"/>
      <c r="K11" s="574"/>
      <c r="L11" s="574"/>
      <c r="M11" s="574"/>
      <c r="N11" s="575"/>
      <c r="O11" s="50"/>
    </row>
    <row r="12" spans="1:16" ht="17.25" customHeight="1">
      <c r="B12" s="11" t="s">
        <v>37</v>
      </c>
      <c r="C12" s="576" t="s">
        <v>38</v>
      </c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578"/>
      <c r="O12" s="51"/>
    </row>
    <row r="13" spans="1:16" ht="17.25" customHeight="1">
      <c r="B13" s="559" t="s">
        <v>160</v>
      </c>
      <c r="C13" s="579" t="s">
        <v>39</v>
      </c>
      <c r="D13" s="12" t="s">
        <v>40</v>
      </c>
      <c r="E13" s="567" t="s">
        <v>121</v>
      </c>
      <c r="F13" s="567"/>
      <c r="G13" s="582" t="s">
        <v>151</v>
      </c>
      <c r="H13" s="582"/>
      <c r="I13" s="582"/>
      <c r="J13" s="582"/>
      <c r="K13" s="582"/>
      <c r="L13" s="582"/>
      <c r="M13" s="582"/>
      <c r="N13" s="582"/>
      <c r="O13" s="52"/>
    </row>
    <row r="14" spans="1:16" ht="17.25" customHeight="1">
      <c r="B14" s="568"/>
      <c r="C14" s="580"/>
      <c r="D14" s="13" t="s">
        <v>41</v>
      </c>
      <c r="E14" s="567" t="s">
        <v>121</v>
      </c>
      <c r="F14" s="567"/>
      <c r="G14" s="583" t="s">
        <v>42</v>
      </c>
      <c r="H14" s="583"/>
      <c r="I14" s="583"/>
      <c r="J14" s="583"/>
      <c r="K14" s="583"/>
      <c r="L14" s="583"/>
      <c r="M14" s="583"/>
      <c r="N14" s="583"/>
      <c r="O14" s="52"/>
    </row>
    <row r="15" spans="1:16" ht="17.25" customHeight="1">
      <c r="B15" s="568"/>
      <c r="C15" s="580"/>
      <c r="D15" s="13" t="s">
        <v>43</v>
      </c>
      <c r="E15" s="567" t="s">
        <v>121</v>
      </c>
      <c r="F15" s="567"/>
      <c r="G15" s="584" t="s">
        <v>170</v>
      </c>
      <c r="H15" s="585"/>
      <c r="I15" s="585"/>
      <c r="J15" s="585"/>
      <c r="K15" s="585"/>
      <c r="L15" s="585"/>
      <c r="M15" s="585"/>
      <c r="N15" s="586"/>
      <c r="O15" s="52"/>
    </row>
    <row r="16" spans="1:16" ht="17.25" customHeight="1">
      <c r="B16" s="568"/>
      <c r="C16" s="581"/>
      <c r="D16" s="13" t="s">
        <v>44</v>
      </c>
      <c r="E16" s="567" t="s">
        <v>121</v>
      </c>
      <c r="F16" s="567"/>
      <c r="G16" s="584" t="s">
        <v>200</v>
      </c>
      <c r="H16" s="585"/>
      <c r="I16" s="585"/>
      <c r="J16" s="585"/>
      <c r="K16" s="585"/>
      <c r="L16" s="585"/>
      <c r="M16" s="585"/>
      <c r="N16" s="586"/>
      <c r="O16" s="52"/>
    </row>
    <row r="17" spans="1:17" ht="17.25" customHeight="1">
      <c r="B17" s="568"/>
      <c r="C17" s="579" t="s">
        <v>45</v>
      </c>
      <c r="D17" s="13" t="s">
        <v>46</v>
      </c>
      <c r="E17" s="567" t="s">
        <v>121</v>
      </c>
      <c r="F17" s="567"/>
      <c r="G17" s="561" t="s">
        <v>47</v>
      </c>
      <c r="H17" s="562"/>
      <c r="I17" s="562"/>
      <c r="J17" s="562"/>
      <c r="K17" s="562"/>
      <c r="L17" s="562"/>
      <c r="M17" s="562"/>
      <c r="N17" s="563"/>
      <c r="O17" s="52"/>
    </row>
    <row r="18" spans="1:17" ht="17.25" customHeight="1">
      <c r="B18" s="568"/>
      <c r="C18" s="581"/>
      <c r="D18" s="13" t="s">
        <v>48</v>
      </c>
      <c r="E18" s="567" t="s">
        <v>121</v>
      </c>
      <c r="F18" s="567"/>
      <c r="G18" s="564"/>
      <c r="H18" s="565"/>
      <c r="I18" s="565"/>
      <c r="J18" s="565"/>
      <c r="K18" s="565"/>
      <c r="L18" s="565"/>
      <c r="M18" s="565"/>
      <c r="N18" s="566"/>
      <c r="O18" s="52"/>
      <c r="Q18"/>
    </row>
    <row r="19" spans="1:17" ht="17.25" customHeight="1">
      <c r="B19" s="568"/>
      <c r="C19" s="579" t="s">
        <v>49</v>
      </c>
      <c r="D19" s="13" t="s">
        <v>50</v>
      </c>
      <c r="E19" s="567" t="s">
        <v>121</v>
      </c>
      <c r="F19" s="567"/>
      <c r="G19" s="561" t="s">
        <v>201</v>
      </c>
      <c r="H19" s="562"/>
      <c r="I19" s="562"/>
      <c r="J19" s="562"/>
      <c r="K19" s="562"/>
      <c r="L19" s="562"/>
      <c r="M19" s="562"/>
      <c r="N19" s="563"/>
      <c r="O19" s="52"/>
      <c r="Q19"/>
    </row>
    <row r="20" spans="1:17" ht="17.25" customHeight="1">
      <c r="B20" s="560"/>
      <c r="C20" s="581"/>
      <c r="D20" s="13" t="s">
        <v>51</v>
      </c>
      <c r="E20" s="567" t="s">
        <v>121</v>
      </c>
      <c r="F20" s="567"/>
      <c r="G20" s="564"/>
      <c r="H20" s="565"/>
      <c r="I20" s="565"/>
      <c r="J20" s="565"/>
      <c r="K20" s="565"/>
      <c r="L20" s="565"/>
      <c r="M20" s="565"/>
      <c r="N20" s="566"/>
      <c r="O20" s="52"/>
      <c r="Q20"/>
    </row>
    <row r="21" spans="1:17" ht="17.25" customHeight="1">
      <c r="B21" s="559" t="s">
        <v>52</v>
      </c>
      <c r="C21" s="783"/>
      <c r="D21" s="784"/>
      <c r="E21" s="571" t="s">
        <v>176</v>
      </c>
      <c r="F21" s="571"/>
      <c r="G21" s="571"/>
      <c r="H21" s="571"/>
      <c r="I21" s="571" t="s">
        <v>177</v>
      </c>
      <c r="J21" s="571"/>
      <c r="K21" s="571"/>
      <c r="L21" s="571"/>
      <c r="M21" s="14" t="s">
        <v>55</v>
      </c>
      <c r="N21" s="14" t="s">
        <v>56</v>
      </c>
      <c r="O21" s="53"/>
      <c r="Q21"/>
    </row>
    <row r="22" spans="1:17" ht="17.25" customHeight="1">
      <c r="B22" s="568"/>
      <c r="C22" s="552" t="s">
        <v>57</v>
      </c>
      <c r="D22" s="553"/>
      <c r="E22" s="554" t="s">
        <v>124</v>
      </c>
      <c r="F22" s="555"/>
      <c r="G22" s="15" t="s">
        <v>125</v>
      </c>
      <c r="H22" s="16" t="s">
        <v>126</v>
      </c>
      <c r="I22" s="554" t="s">
        <v>124</v>
      </c>
      <c r="J22" s="555"/>
      <c r="K22" s="15" t="s">
        <v>125</v>
      </c>
      <c r="L22" s="16" t="s">
        <v>126</v>
      </c>
      <c r="M22" s="551" t="s">
        <v>127</v>
      </c>
      <c r="N22" s="551" t="s">
        <v>58</v>
      </c>
      <c r="O22" s="54"/>
      <c r="Q22"/>
    </row>
    <row r="23" spans="1:17" ht="17.25" customHeight="1">
      <c r="B23" s="560"/>
      <c r="C23" s="552" t="s">
        <v>59</v>
      </c>
      <c r="D23" s="553"/>
      <c r="E23" s="554" t="s">
        <v>124</v>
      </c>
      <c r="F23" s="555"/>
      <c r="G23" s="15" t="s">
        <v>125</v>
      </c>
      <c r="H23" s="16" t="s">
        <v>126</v>
      </c>
      <c r="I23" s="554" t="s">
        <v>124</v>
      </c>
      <c r="J23" s="555"/>
      <c r="K23" s="15" t="s">
        <v>125</v>
      </c>
      <c r="L23" s="16" t="s">
        <v>126</v>
      </c>
      <c r="M23" s="551"/>
      <c r="N23" s="551"/>
      <c r="O23" s="54"/>
      <c r="Q23"/>
    </row>
    <row r="24" spans="1:17" ht="17.25" customHeight="1">
      <c r="B24" s="559" t="s">
        <v>60</v>
      </c>
      <c r="C24" s="552" t="s">
        <v>61</v>
      </c>
      <c r="D24" s="553"/>
      <c r="E24" s="163" t="s">
        <v>62</v>
      </c>
      <c r="F24" s="163"/>
      <c r="G24" s="163"/>
      <c r="H24" s="163"/>
      <c r="I24" s="163"/>
      <c r="J24" s="163"/>
      <c r="K24" s="163"/>
      <c r="L24" s="163"/>
      <c r="M24" s="163"/>
      <c r="N24" s="163"/>
      <c r="O24" s="55"/>
      <c r="Q24"/>
    </row>
    <row r="25" spans="1:17" ht="17.25" customHeight="1">
      <c r="B25" s="560"/>
      <c r="C25" s="552" t="s">
        <v>63</v>
      </c>
      <c r="D25" s="553"/>
      <c r="E25" s="163" t="s">
        <v>128</v>
      </c>
      <c r="F25" s="164"/>
      <c r="G25" s="164"/>
      <c r="H25" s="164"/>
      <c r="I25" s="164"/>
      <c r="J25" s="164"/>
      <c r="K25" s="164"/>
      <c r="L25" s="164"/>
      <c r="M25" s="164"/>
      <c r="N25" s="164"/>
      <c r="O25" s="55"/>
      <c r="Q25"/>
    </row>
    <row r="26" spans="1:17" ht="17.25" customHeight="1">
      <c r="A26" s="45" t="s">
        <v>135</v>
      </c>
      <c r="O26" s="45" t="s">
        <v>136</v>
      </c>
    </row>
    <row r="27" spans="1:17" ht="17.25" customHeight="1">
      <c r="B27" s="148" t="s">
        <v>161</v>
      </c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50"/>
      <c r="O27" s="56"/>
    </row>
    <row r="28" spans="1:17" ht="17.25" customHeight="1">
      <c r="B28" s="556" t="s">
        <v>167</v>
      </c>
      <c r="C28" s="557"/>
      <c r="D28" s="557"/>
      <c r="E28" s="557"/>
      <c r="F28" s="557"/>
      <c r="G28" s="557"/>
      <c r="H28" s="557"/>
      <c r="I28" s="557"/>
      <c r="J28" s="557"/>
      <c r="K28" s="557"/>
      <c r="L28" s="557"/>
      <c r="M28" s="557"/>
      <c r="N28" s="558"/>
      <c r="O28" s="57"/>
    </row>
    <row r="29" spans="1:17" ht="17.25" customHeight="1">
      <c r="B29" s="520" t="s">
        <v>64</v>
      </c>
      <c r="C29" s="521"/>
      <c r="D29" s="522"/>
      <c r="E29" s="520" t="s">
        <v>178</v>
      </c>
      <c r="F29" s="521"/>
      <c r="G29" s="521"/>
      <c r="H29" s="522"/>
      <c r="I29" s="520" t="s">
        <v>179</v>
      </c>
      <c r="J29" s="521"/>
      <c r="K29" s="521"/>
      <c r="L29" s="522"/>
      <c r="M29" s="17" t="s">
        <v>55</v>
      </c>
      <c r="N29" s="17" t="s">
        <v>56</v>
      </c>
      <c r="O29" s="56"/>
    </row>
    <row r="30" spans="1:17" ht="17.25" customHeight="1">
      <c r="B30" s="791" t="s">
        <v>65</v>
      </c>
      <c r="C30" s="792"/>
      <c r="D30" s="793"/>
      <c r="E30" s="797">
        <v>0</v>
      </c>
      <c r="F30" s="798"/>
      <c r="G30" s="798"/>
      <c r="H30" s="799"/>
      <c r="I30" s="535">
        <v>0</v>
      </c>
      <c r="J30" s="536"/>
      <c r="K30" s="536"/>
      <c r="L30" s="537"/>
      <c r="M30" s="18"/>
      <c r="N30" s="19"/>
      <c r="O30" s="58"/>
    </row>
    <row r="31" spans="1:17" ht="17.25" customHeight="1">
      <c r="B31" s="794"/>
      <c r="C31" s="795"/>
      <c r="D31" s="796"/>
      <c r="E31" s="32" t="s">
        <v>66</v>
      </c>
      <c r="F31" s="538">
        <v>0</v>
      </c>
      <c r="G31" s="538"/>
      <c r="H31" s="539"/>
      <c r="I31" s="32" t="s">
        <v>66</v>
      </c>
      <c r="J31" s="512" t="s">
        <v>129</v>
      </c>
      <c r="K31" s="512"/>
      <c r="L31" s="513"/>
      <c r="M31" s="20" t="s">
        <v>67</v>
      </c>
      <c r="N31" s="20" t="s">
        <v>68</v>
      </c>
      <c r="O31" s="58"/>
    </row>
    <row r="32" spans="1:17" ht="17.25" customHeight="1">
      <c r="B32" s="794"/>
      <c r="C32" s="795"/>
      <c r="D32" s="796"/>
      <c r="E32" s="32" t="s">
        <v>69</v>
      </c>
      <c r="F32" s="540">
        <v>0</v>
      </c>
      <c r="G32" s="540"/>
      <c r="H32" s="541"/>
      <c r="I32" s="32" t="s">
        <v>69</v>
      </c>
      <c r="J32" s="512" t="s">
        <v>130</v>
      </c>
      <c r="K32" s="512"/>
      <c r="L32" s="513"/>
      <c r="M32" s="407" t="s">
        <v>70</v>
      </c>
      <c r="N32" s="407" t="s">
        <v>71</v>
      </c>
      <c r="O32" s="58"/>
    </row>
    <row r="33" spans="2:17" ht="17.25" customHeight="1">
      <c r="B33" s="794"/>
      <c r="C33" s="795"/>
      <c r="D33" s="796"/>
      <c r="E33" s="32" t="s">
        <v>72</v>
      </c>
      <c r="F33" s="514">
        <v>0</v>
      </c>
      <c r="G33" s="514"/>
      <c r="H33" s="515"/>
      <c r="I33" s="32" t="s">
        <v>72</v>
      </c>
      <c r="J33" s="379">
        <v>0</v>
      </c>
      <c r="K33" s="379"/>
      <c r="L33" s="380"/>
      <c r="M33" s="407"/>
      <c r="N33" s="407"/>
      <c r="O33" s="58"/>
    </row>
    <row r="34" spans="2:17" ht="17.25" customHeight="1">
      <c r="B34" s="785" t="s">
        <v>173</v>
      </c>
      <c r="C34" s="786"/>
      <c r="D34" s="787"/>
      <c r="E34" s="32" t="s">
        <v>73</v>
      </c>
      <c r="F34" s="516">
        <v>0</v>
      </c>
      <c r="G34" s="516"/>
      <c r="H34" s="517"/>
      <c r="I34" s="32" t="s">
        <v>73</v>
      </c>
      <c r="J34" s="518">
        <v>0</v>
      </c>
      <c r="K34" s="518"/>
      <c r="L34" s="519"/>
      <c r="M34" s="357" t="s">
        <v>74</v>
      </c>
      <c r="N34" s="357" t="s">
        <v>75</v>
      </c>
      <c r="O34" s="58"/>
    </row>
    <row r="35" spans="2:17" ht="17.25" customHeight="1">
      <c r="B35" s="785"/>
      <c r="C35" s="786"/>
      <c r="D35" s="787"/>
      <c r="E35" s="32" t="s">
        <v>76</v>
      </c>
      <c r="F35" s="487">
        <v>0</v>
      </c>
      <c r="G35" s="487"/>
      <c r="H35" s="488"/>
      <c r="I35" s="542" t="s">
        <v>169</v>
      </c>
      <c r="J35" s="543"/>
      <c r="K35" s="543"/>
      <c r="L35" s="544"/>
      <c r="M35" s="357"/>
      <c r="N35" s="357"/>
      <c r="O35" s="58"/>
    </row>
    <row r="36" spans="2:17" ht="17.25" customHeight="1">
      <c r="B36" s="785"/>
      <c r="C36" s="786"/>
      <c r="D36" s="787"/>
      <c r="E36" s="32" t="s">
        <v>77</v>
      </c>
      <c r="F36" s="508">
        <v>0</v>
      </c>
      <c r="G36" s="508"/>
      <c r="H36" s="509"/>
      <c r="I36" s="545"/>
      <c r="J36" s="546"/>
      <c r="K36" s="546"/>
      <c r="L36" s="547"/>
      <c r="M36" s="357"/>
      <c r="N36" s="357"/>
      <c r="O36" s="58"/>
    </row>
    <row r="37" spans="2:17" ht="17.25" customHeight="1">
      <c r="B37" s="788"/>
      <c r="C37" s="789"/>
      <c r="D37" s="790"/>
      <c r="E37" s="32" t="s">
        <v>78</v>
      </c>
      <c r="F37" s="510">
        <v>0</v>
      </c>
      <c r="G37" s="510"/>
      <c r="H37" s="511"/>
      <c r="I37" s="548"/>
      <c r="J37" s="549"/>
      <c r="K37" s="549"/>
      <c r="L37" s="550"/>
      <c r="M37" s="21"/>
      <c r="N37" s="22"/>
      <c r="O37" s="58"/>
    </row>
    <row r="38" spans="2:17" ht="17.25" customHeight="1">
      <c r="B38" s="489" t="s">
        <v>79</v>
      </c>
      <c r="C38" s="490"/>
      <c r="D38" s="491"/>
      <c r="E38" s="800">
        <v>0</v>
      </c>
      <c r="F38" s="801"/>
      <c r="G38" s="801"/>
      <c r="H38" s="802"/>
      <c r="I38" s="616">
        <v>0</v>
      </c>
      <c r="J38" s="617"/>
      <c r="K38" s="617"/>
      <c r="L38" s="618"/>
      <c r="M38" s="407" t="s">
        <v>172</v>
      </c>
      <c r="N38" s="467" t="s">
        <v>80</v>
      </c>
      <c r="O38" s="58"/>
    </row>
    <row r="39" spans="2:17" ht="17.25" customHeight="1">
      <c r="B39" s="492"/>
      <c r="C39" s="493"/>
      <c r="D39" s="494"/>
      <c r="E39" s="33" t="s">
        <v>66</v>
      </c>
      <c r="F39" s="644">
        <v>0</v>
      </c>
      <c r="G39" s="644"/>
      <c r="H39" s="645"/>
      <c r="I39" s="33" t="s">
        <v>66</v>
      </c>
      <c r="J39" s="470">
        <v>0</v>
      </c>
      <c r="K39" s="470"/>
      <c r="L39" s="471"/>
      <c r="M39" s="407"/>
      <c r="N39" s="467"/>
      <c r="O39" s="58"/>
    </row>
    <row r="40" spans="2:17" ht="17.25" customHeight="1">
      <c r="B40" s="492"/>
      <c r="C40" s="493"/>
      <c r="D40" s="494"/>
      <c r="E40" s="33" t="s">
        <v>69</v>
      </c>
      <c r="F40" s="464">
        <v>0</v>
      </c>
      <c r="G40" s="464"/>
      <c r="H40" s="465"/>
      <c r="I40" s="33" t="s">
        <v>69</v>
      </c>
      <c r="J40" s="714">
        <v>0</v>
      </c>
      <c r="K40" s="714"/>
      <c r="L40" s="715"/>
      <c r="M40" s="407"/>
      <c r="N40" s="467"/>
      <c r="O40" s="58"/>
    </row>
    <row r="41" spans="2:17" ht="17.25" customHeight="1">
      <c r="B41" s="610" t="s">
        <v>81</v>
      </c>
      <c r="C41" s="611"/>
      <c r="D41" s="612"/>
      <c r="E41" s="33" t="s">
        <v>72</v>
      </c>
      <c r="F41" s="501">
        <v>0</v>
      </c>
      <c r="G41" s="501"/>
      <c r="H41" s="502"/>
      <c r="I41" s="726" t="s">
        <v>82</v>
      </c>
      <c r="J41" s="727"/>
      <c r="K41" s="727"/>
      <c r="L41" s="728"/>
      <c r="M41" s="23"/>
      <c r="N41" s="23"/>
      <c r="O41" s="58"/>
      <c r="Q41" s="8" t="s">
        <v>83</v>
      </c>
    </row>
    <row r="42" spans="2:17" ht="17.25" customHeight="1">
      <c r="B42" s="610"/>
      <c r="C42" s="611"/>
      <c r="D42" s="612"/>
      <c r="E42" s="33" t="s">
        <v>73</v>
      </c>
      <c r="F42" s="735">
        <v>0</v>
      </c>
      <c r="G42" s="735"/>
      <c r="H42" s="736"/>
      <c r="I42" s="729"/>
      <c r="J42" s="730"/>
      <c r="K42" s="730"/>
      <c r="L42" s="731"/>
      <c r="M42" s="407" t="s">
        <v>171</v>
      </c>
      <c r="N42" s="23"/>
      <c r="O42" s="58"/>
    </row>
    <row r="43" spans="2:17" ht="17.25" customHeight="1">
      <c r="B43" s="610"/>
      <c r="C43" s="611"/>
      <c r="D43" s="612"/>
      <c r="E43" s="33" t="s">
        <v>76</v>
      </c>
      <c r="F43" s="436">
        <v>0</v>
      </c>
      <c r="G43" s="436"/>
      <c r="H43" s="437"/>
      <c r="I43" s="729"/>
      <c r="J43" s="730"/>
      <c r="K43" s="730"/>
      <c r="L43" s="731"/>
      <c r="M43" s="407"/>
      <c r="N43" s="23"/>
      <c r="O43" s="58"/>
    </row>
    <row r="44" spans="2:17" ht="17.25" customHeight="1">
      <c r="B44" s="613"/>
      <c r="C44" s="614"/>
      <c r="D44" s="615"/>
      <c r="E44" s="33" t="s">
        <v>77</v>
      </c>
      <c r="F44" s="485">
        <v>0</v>
      </c>
      <c r="G44" s="485"/>
      <c r="H44" s="486"/>
      <c r="I44" s="732"/>
      <c r="J44" s="733"/>
      <c r="K44" s="733"/>
      <c r="L44" s="734"/>
      <c r="M44" s="407"/>
      <c r="N44" s="23"/>
      <c r="O44" s="58"/>
    </row>
    <row r="45" spans="2:17" ht="17.25" customHeight="1">
      <c r="B45" s="776" t="s">
        <v>84</v>
      </c>
      <c r="C45" s="777"/>
      <c r="D45" s="778"/>
      <c r="E45" s="812">
        <v>0</v>
      </c>
      <c r="F45" s="813"/>
      <c r="G45" s="813"/>
      <c r="H45" s="814"/>
      <c r="I45" s="656">
        <v>0</v>
      </c>
      <c r="J45" s="657"/>
      <c r="K45" s="657"/>
      <c r="L45" s="658"/>
      <c r="M45" s="24" t="s">
        <v>85</v>
      </c>
      <c r="N45" s="25" t="s">
        <v>85</v>
      </c>
      <c r="O45" s="58"/>
    </row>
    <row r="46" spans="2:17" ht="17.25" customHeight="1">
      <c r="B46" s="779"/>
      <c r="C46" s="780"/>
      <c r="D46" s="781"/>
      <c r="E46" s="34" t="s">
        <v>66</v>
      </c>
      <c r="F46" s="428">
        <v>0</v>
      </c>
      <c r="G46" s="428"/>
      <c r="H46" s="429"/>
      <c r="I46" s="34" t="s">
        <v>66</v>
      </c>
      <c r="J46" s="430">
        <v>0</v>
      </c>
      <c r="K46" s="430"/>
      <c r="L46" s="431"/>
      <c r="M46" s="20" t="s">
        <v>86</v>
      </c>
      <c r="N46" s="20" t="s">
        <v>87</v>
      </c>
      <c r="O46" s="58"/>
    </row>
    <row r="47" spans="2:17" ht="17.25" customHeight="1">
      <c r="B47" s="779"/>
      <c r="C47" s="780"/>
      <c r="D47" s="781"/>
      <c r="E47" s="34" t="s">
        <v>69</v>
      </c>
      <c r="F47" s="432">
        <v>0</v>
      </c>
      <c r="G47" s="432"/>
      <c r="H47" s="433"/>
      <c r="I47" s="815" t="s">
        <v>164</v>
      </c>
      <c r="J47" s="816"/>
      <c r="K47" s="816"/>
      <c r="L47" s="817"/>
      <c r="M47" s="407" t="s">
        <v>174</v>
      </c>
      <c r="N47" s="407" t="s">
        <v>88</v>
      </c>
      <c r="O47" s="58"/>
    </row>
    <row r="48" spans="2:17" ht="17.25" customHeight="1">
      <c r="B48" s="604" t="s">
        <v>89</v>
      </c>
      <c r="C48" s="605"/>
      <c r="D48" s="606"/>
      <c r="E48" s="34" t="s">
        <v>72</v>
      </c>
      <c r="F48" s="396">
        <v>0</v>
      </c>
      <c r="G48" s="396"/>
      <c r="H48" s="397"/>
      <c r="I48" s="818"/>
      <c r="J48" s="819"/>
      <c r="K48" s="819"/>
      <c r="L48" s="820"/>
      <c r="M48" s="407"/>
      <c r="N48" s="407"/>
      <c r="O48" s="58"/>
    </row>
    <row r="49" spans="1:15" ht="17.25" customHeight="1">
      <c r="B49" s="604"/>
      <c r="C49" s="605"/>
      <c r="D49" s="606"/>
      <c r="E49" s="34" t="s">
        <v>73</v>
      </c>
      <c r="F49" s="411">
        <v>0</v>
      </c>
      <c r="G49" s="411"/>
      <c r="H49" s="412"/>
      <c r="I49" s="818"/>
      <c r="J49" s="819"/>
      <c r="K49" s="819"/>
      <c r="L49" s="820"/>
      <c r="M49" s="407"/>
      <c r="N49" s="407"/>
      <c r="O49" s="58"/>
    </row>
    <row r="50" spans="1:15" ht="17.25" customHeight="1">
      <c r="B50" s="607"/>
      <c r="C50" s="608"/>
      <c r="D50" s="609"/>
      <c r="E50" s="34" t="s">
        <v>76</v>
      </c>
      <c r="F50" s="413">
        <v>0</v>
      </c>
      <c r="G50" s="413"/>
      <c r="H50" s="414"/>
      <c r="I50" s="821"/>
      <c r="J50" s="822"/>
      <c r="K50" s="822"/>
      <c r="L50" s="823"/>
      <c r="M50" s="357" t="s">
        <v>175</v>
      </c>
      <c r="N50" s="357" t="s">
        <v>90</v>
      </c>
      <c r="O50" s="58"/>
    </row>
    <row r="51" spans="1:15" ht="17.25" customHeight="1">
      <c r="B51" s="803" t="s">
        <v>91</v>
      </c>
      <c r="C51" s="804"/>
      <c r="D51" s="805"/>
      <c r="E51" s="452">
        <v>0</v>
      </c>
      <c r="F51" s="453"/>
      <c r="G51" s="453"/>
      <c r="H51" s="454"/>
      <c r="I51" s="616">
        <v>0</v>
      </c>
      <c r="J51" s="617"/>
      <c r="K51" s="617"/>
      <c r="L51" s="618"/>
      <c r="M51" s="427"/>
      <c r="N51" s="357"/>
      <c r="O51" s="58"/>
    </row>
    <row r="52" spans="1:15" ht="17.25" customHeight="1">
      <c r="B52" s="806"/>
      <c r="C52" s="807"/>
      <c r="D52" s="808"/>
      <c r="E52" s="35" t="s">
        <v>66</v>
      </c>
      <c r="F52" s="468">
        <v>0</v>
      </c>
      <c r="G52" s="468"/>
      <c r="H52" s="469"/>
      <c r="I52" s="33" t="s">
        <v>66</v>
      </c>
      <c r="J52" s="470">
        <v>0</v>
      </c>
      <c r="K52" s="470"/>
      <c r="L52" s="471"/>
      <c r="M52" s="24"/>
      <c r="N52" s="21"/>
      <c r="O52" s="58"/>
    </row>
    <row r="53" spans="1:15" ht="17.25" customHeight="1">
      <c r="B53" s="806"/>
      <c r="C53" s="807"/>
      <c r="D53" s="808"/>
      <c r="E53" s="35" t="s">
        <v>69</v>
      </c>
      <c r="F53" s="472">
        <v>0</v>
      </c>
      <c r="G53" s="472"/>
      <c r="H53" s="473"/>
      <c r="I53" s="33" t="s">
        <v>69</v>
      </c>
      <c r="J53" s="714">
        <v>0</v>
      </c>
      <c r="K53" s="714"/>
      <c r="L53" s="715"/>
      <c r="M53" s="407" t="s">
        <v>186</v>
      </c>
      <c r="N53" s="408" t="s">
        <v>92</v>
      </c>
      <c r="O53" s="58"/>
    </row>
    <row r="54" spans="1:15" ht="17.25" customHeight="1">
      <c r="B54" s="806"/>
      <c r="C54" s="807"/>
      <c r="D54" s="808"/>
      <c r="E54" s="35" t="s">
        <v>72</v>
      </c>
      <c r="F54" s="483">
        <v>0</v>
      </c>
      <c r="G54" s="483"/>
      <c r="H54" s="484"/>
      <c r="I54" s="824"/>
      <c r="J54" s="825"/>
      <c r="K54" s="825"/>
      <c r="L54" s="826"/>
      <c r="M54" s="407"/>
      <c r="N54" s="408"/>
      <c r="O54" s="58"/>
    </row>
    <row r="55" spans="1:15" ht="17.25" customHeight="1">
      <c r="B55" s="806"/>
      <c r="C55" s="807"/>
      <c r="D55" s="808"/>
      <c r="E55" s="35" t="s">
        <v>73</v>
      </c>
      <c r="F55" s="436">
        <v>0</v>
      </c>
      <c r="G55" s="436"/>
      <c r="H55" s="437"/>
      <c r="I55" s="824"/>
      <c r="J55" s="825"/>
      <c r="K55" s="825"/>
      <c r="L55" s="826"/>
      <c r="M55" s="357" t="s">
        <v>187</v>
      </c>
      <c r="N55" s="26"/>
      <c r="O55" s="58"/>
    </row>
    <row r="56" spans="1:15" ht="17.25" customHeight="1">
      <c r="B56" s="809"/>
      <c r="C56" s="810"/>
      <c r="D56" s="811"/>
      <c r="E56" s="35" t="s">
        <v>76</v>
      </c>
      <c r="F56" s="485">
        <v>0</v>
      </c>
      <c r="G56" s="485"/>
      <c r="H56" s="486"/>
      <c r="I56" s="827"/>
      <c r="J56" s="828"/>
      <c r="K56" s="828"/>
      <c r="L56" s="829"/>
      <c r="M56" s="357"/>
      <c r="N56" s="26"/>
      <c r="O56" s="58"/>
    </row>
    <row r="57" spans="1:15" ht="17.25" customHeight="1">
      <c r="B57" s="367" t="s">
        <v>93</v>
      </c>
      <c r="C57" s="368"/>
      <c r="D57" s="369"/>
      <c r="E57" s="373">
        <v>0</v>
      </c>
      <c r="F57" s="374"/>
      <c r="G57" s="374"/>
      <c r="H57" s="375"/>
      <c r="I57" s="376">
        <v>0</v>
      </c>
      <c r="J57" s="377"/>
      <c r="K57" s="377"/>
      <c r="L57" s="378"/>
      <c r="M57" s="23"/>
      <c r="N57" s="22"/>
      <c r="O57" s="58"/>
    </row>
    <row r="58" spans="1:15" ht="17.25" customHeight="1">
      <c r="B58" s="370"/>
      <c r="C58" s="371"/>
      <c r="D58" s="372"/>
      <c r="E58" s="341" t="s">
        <v>182</v>
      </c>
      <c r="F58" s="342"/>
      <c r="G58" s="342"/>
      <c r="H58" s="343"/>
      <c r="I58" s="40" t="s">
        <v>66</v>
      </c>
      <c r="J58" s="379">
        <v>0</v>
      </c>
      <c r="K58" s="379"/>
      <c r="L58" s="380"/>
      <c r="M58" s="23" t="s">
        <v>94</v>
      </c>
      <c r="N58" s="26"/>
      <c r="O58" s="58"/>
    </row>
    <row r="59" spans="1:15" ht="17.25" customHeight="1">
      <c r="B59" s="381" t="s">
        <v>181</v>
      </c>
      <c r="C59" s="382"/>
      <c r="D59" s="383"/>
      <c r="E59" s="344"/>
      <c r="F59" s="345"/>
      <c r="G59" s="345"/>
      <c r="H59" s="346"/>
      <c r="I59" s="62" t="s">
        <v>69</v>
      </c>
      <c r="J59" s="388" t="s">
        <v>180</v>
      </c>
      <c r="K59" s="388"/>
      <c r="L59" s="389"/>
      <c r="M59" s="357" t="s">
        <v>95</v>
      </c>
      <c r="N59" s="26"/>
      <c r="O59" s="58"/>
    </row>
    <row r="60" spans="1:15" ht="17.25" customHeight="1">
      <c r="B60" s="384"/>
      <c r="C60" s="382"/>
      <c r="D60" s="383"/>
      <c r="E60" s="347" t="s">
        <v>183</v>
      </c>
      <c r="F60" s="348"/>
      <c r="G60" s="348"/>
      <c r="H60" s="349"/>
      <c r="I60" s="63"/>
      <c r="J60" s="350" t="s">
        <v>185</v>
      </c>
      <c r="K60" s="350"/>
      <c r="L60" s="351"/>
      <c r="M60" s="357"/>
      <c r="N60" s="22"/>
      <c r="O60" s="58"/>
    </row>
    <row r="61" spans="1:15" ht="17.25" customHeight="1">
      <c r="B61" s="385"/>
      <c r="C61" s="386"/>
      <c r="D61" s="387"/>
      <c r="E61" s="347" t="s">
        <v>184</v>
      </c>
      <c r="F61" s="348"/>
      <c r="G61" s="348"/>
      <c r="H61" s="349"/>
      <c r="I61" s="64"/>
      <c r="J61" s="352" t="s">
        <v>188</v>
      </c>
      <c r="K61" s="352"/>
      <c r="L61" s="353"/>
      <c r="M61" s="27"/>
      <c r="N61" s="27"/>
      <c r="O61" s="58"/>
    </row>
    <row r="62" spans="1:15" ht="17.25" customHeight="1">
      <c r="B62" s="358" t="s">
        <v>96</v>
      </c>
      <c r="C62" s="359"/>
      <c r="D62" s="360"/>
      <c r="E62" s="361">
        <v>0</v>
      </c>
      <c r="F62" s="362"/>
      <c r="G62" s="362"/>
      <c r="H62" s="363"/>
      <c r="I62" s="364">
        <v>0</v>
      </c>
      <c r="J62" s="365"/>
      <c r="K62" s="365"/>
      <c r="L62" s="366"/>
      <c r="M62" s="28" t="s">
        <v>97</v>
      </c>
      <c r="N62" s="28" t="s">
        <v>98</v>
      </c>
    </row>
    <row r="63" spans="1:15" ht="17.25" customHeight="1">
      <c r="A63" s="45" t="s">
        <v>135</v>
      </c>
      <c r="O63" s="45" t="s">
        <v>136</v>
      </c>
    </row>
    <row r="64" spans="1:15" ht="17.25" customHeight="1">
      <c r="B64" s="354" t="s">
        <v>203</v>
      </c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  <c r="N64" s="356"/>
    </row>
    <row r="65" spans="2:14" ht="17.25" customHeight="1">
      <c r="B65" s="310" t="s">
        <v>202</v>
      </c>
      <c r="C65" s="311"/>
      <c r="D65" s="311"/>
      <c r="E65" s="311"/>
      <c r="F65" s="311"/>
      <c r="G65" s="311"/>
      <c r="H65" s="311"/>
      <c r="I65" s="311"/>
      <c r="J65" s="311"/>
      <c r="K65" s="311"/>
      <c r="L65" s="311"/>
      <c r="M65" s="311"/>
      <c r="N65" s="312"/>
    </row>
    <row r="66" spans="2:14" ht="17.25" customHeight="1">
      <c r="B66" s="313" t="s">
        <v>64</v>
      </c>
      <c r="C66" s="314"/>
      <c r="D66" s="315"/>
      <c r="E66" s="313" t="s">
        <v>53</v>
      </c>
      <c r="F66" s="314"/>
      <c r="G66" s="314"/>
      <c r="H66" s="315"/>
      <c r="I66" s="41"/>
      <c r="J66" s="314" t="s">
        <v>54</v>
      </c>
      <c r="K66" s="314"/>
      <c r="L66" s="315"/>
      <c r="M66" s="29" t="s">
        <v>55</v>
      </c>
      <c r="N66" s="30" t="s">
        <v>56</v>
      </c>
    </row>
    <row r="67" spans="2:14" ht="17.25" customHeight="1">
      <c r="B67" s="316" t="s">
        <v>99</v>
      </c>
      <c r="C67" s="317"/>
      <c r="D67" s="318"/>
      <c r="E67" s="325">
        <v>0</v>
      </c>
      <c r="F67" s="326"/>
      <c r="G67" s="326"/>
      <c r="H67" s="327"/>
      <c r="I67" s="328">
        <v>0</v>
      </c>
      <c r="J67" s="329"/>
      <c r="K67" s="329"/>
      <c r="L67" s="330"/>
      <c r="M67" s="331" t="s">
        <v>100</v>
      </c>
      <c r="N67" s="334" t="s">
        <v>100</v>
      </c>
    </row>
    <row r="68" spans="2:14" ht="17.25" customHeight="1">
      <c r="B68" s="319"/>
      <c r="C68" s="320"/>
      <c r="D68" s="321"/>
      <c r="E68" s="36" t="s">
        <v>66</v>
      </c>
      <c r="F68" s="300">
        <v>0</v>
      </c>
      <c r="G68" s="300"/>
      <c r="H68" s="301"/>
      <c r="I68" s="36" t="s">
        <v>66</v>
      </c>
      <c r="J68" s="302" t="s">
        <v>129</v>
      </c>
      <c r="K68" s="302"/>
      <c r="L68" s="303"/>
      <c r="M68" s="332"/>
      <c r="N68" s="335"/>
    </row>
    <row r="69" spans="2:14" ht="17.25" customHeight="1">
      <c r="B69" s="319"/>
      <c r="C69" s="320"/>
      <c r="D69" s="321"/>
      <c r="E69" s="36" t="s">
        <v>69</v>
      </c>
      <c r="F69" s="304">
        <v>0</v>
      </c>
      <c r="G69" s="304"/>
      <c r="H69" s="305"/>
      <c r="I69" s="36" t="s">
        <v>69</v>
      </c>
      <c r="J69" s="302" t="s">
        <v>130</v>
      </c>
      <c r="K69" s="302"/>
      <c r="L69" s="303"/>
      <c r="M69" s="332"/>
      <c r="N69" s="335"/>
    </row>
    <row r="70" spans="2:14" ht="17.25" customHeight="1">
      <c r="B70" s="319"/>
      <c r="C70" s="320"/>
      <c r="D70" s="321"/>
      <c r="E70" s="36" t="s">
        <v>72</v>
      </c>
      <c r="F70" s="306">
        <v>0</v>
      </c>
      <c r="G70" s="306"/>
      <c r="H70" s="307"/>
      <c r="I70" s="36" t="s">
        <v>72</v>
      </c>
      <c r="J70" s="308">
        <v>0</v>
      </c>
      <c r="K70" s="308"/>
      <c r="L70" s="309"/>
      <c r="M70" s="332"/>
      <c r="N70" s="335"/>
    </row>
    <row r="71" spans="2:14" ht="17.25" customHeight="1">
      <c r="B71" s="319"/>
      <c r="C71" s="320"/>
      <c r="D71" s="321"/>
      <c r="E71" s="36" t="s">
        <v>73</v>
      </c>
      <c r="F71" s="337">
        <v>0</v>
      </c>
      <c r="G71" s="337"/>
      <c r="H71" s="338"/>
      <c r="I71" s="36" t="s">
        <v>73</v>
      </c>
      <c r="J71" s="339">
        <v>0</v>
      </c>
      <c r="K71" s="339"/>
      <c r="L71" s="340"/>
      <c r="M71" s="332"/>
      <c r="N71" s="335"/>
    </row>
    <row r="72" spans="2:14" ht="17.25" customHeight="1">
      <c r="B72" s="319"/>
      <c r="C72" s="320"/>
      <c r="D72" s="321"/>
      <c r="E72" s="36" t="s">
        <v>76</v>
      </c>
      <c r="F72" s="285">
        <v>0</v>
      </c>
      <c r="G72" s="285"/>
      <c r="H72" s="286"/>
      <c r="I72" s="287" t="s">
        <v>101</v>
      </c>
      <c r="J72" s="288"/>
      <c r="K72" s="288"/>
      <c r="L72" s="289"/>
      <c r="M72" s="332"/>
      <c r="N72" s="335"/>
    </row>
    <row r="73" spans="2:14" ht="17.25" customHeight="1">
      <c r="B73" s="319"/>
      <c r="C73" s="320"/>
      <c r="D73" s="321"/>
      <c r="E73" s="36" t="s">
        <v>77</v>
      </c>
      <c r="F73" s="296">
        <v>0</v>
      </c>
      <c r="G73" s="296"/>
      <c r="H73" s="297"/>
      <c r="I73" s="290"/>
      <c r="J73" s="291"/>
      <c r="K73" s="291"/>
      <c r="L73" s="292"/>
      <c r="M73" s="332"/>
      <c r="N73" s="335"/>
    </row>
    <row r="74" spans="2:14" ht="17.25" customHeight="1">
      <c r="B74" s="322"/>
      <c r="C74" s="323"/>
      <c r="D74" s="324"/>
      <c r="E74" s="36" t="s">
        <v>78</v>
      </c>
      <c r="F74" s="298">
        <v>0</v>
      </c>
      <c r="G74" s="298"/>
      <c r="H74" s="299"/>
      <c r="I74" s="293"/>
      <c r="J74" s="294"/>
      <c r="K74" s="294"/>
      <c r="L74" s="295"/>
      <c r="M74" s="332"/>
      <c r="N74" s="335"/>
    </row>
    <row r="75" spans="2:14" ht="17.25" customHeight="1">
      <c r="B75" s="249" t="s">
        <v>102</v>
      </c>
      <c r="C75" s="250"/>
      <c r="D75" s="251"/>
      <c r="E75" s="258">
        <v>0</v>
      </c>
      <c r="F75" s="259"/>
      <c r="G75" s="259"/>
      <c r="H75" s="260"/>
      <c r="I75" s="261">
        <v>0</v>
      </c>
      <c r="J75" s="262"/>
      <c r="K75" s="262"/>
      <c r="L75" s="263"/>
      <c r="M75" s="332"/>
      <c r="N75" s="335"/>
    </row>
    <row r="76" spans="2:14" ht="17.25" customHeight="1">
      <c r="B76" s="252"/>
      <c r="C76" s="253"/>
      <c r="D76" s="254"/>
      <c r="E76" s="37" t="s">
        <v>66</v>
      </c>
      <c r="F76" s="264">
        <v>0</v>
      </c>
      <c r="G76" s="264"/>
      <c r="H76" s="265"/>
      <c r="I76" s="37" t="s">
        <v>66</v>
      </c>
      <c r="J76" s="266">
        <v>0</v>
      </c>
      <c r="K76" s="266"/>
      <c r="L76" s="267"/>
      <c r="M76" s="332"/>
      <c r="N76" s="335"/>
    </row>
    <row r="77" spans="2:14" ht="17.25" customHeight="1">
      <c r="B77" s="252"/>
      <c r="C77" s="253"/>
      <c r="D77" s="254"/>
      <c r="E77" s="37" t="s">
        <v>69</v>
      </c>
      <c r="F77" s="268">
        <v>0</v>
      </c>
      <c r="G77" s="268"/>
      <c r="H77" s="269"/>
      <c r="I77" s="270" t="s">
        <v>103</v>
      </c>
      <c r="J77" s="271"/>
      <c r="K77" s="271"/>
      <c r="L77" s="272"/>
      <c r="M77" s="332"/>
      <c r="N77" s="335"/>
    </row>
    <row r="78" spans="2:14" ht="17.25" customHeight="1">
      <c r="B78" s="252"/>
      <c r="C78" s="253"/>
      <c r="D78" s="254"/>
      <c r="E78" s="37" t="s">
        <v>72</v>
      </c>
      <c r="F78" s="279">
        <v>0</v>
      </c>
      <c r="G78" s="279"/>
      <c r="H78" s="280"/>
      <c r="I78" s="273"/>
      <c r="J78" s="274"/>
      <c r="K78" s="274"/>
      <c r="L78" s="275"/>
      <c r="M78" s="332"/>
      <c r="N78" s="335"/>
    </row>
    <row r="79" spans="2:14" ht="17.25" customHeight="1">
      <c r="B79" s="252"/>
      <c r="C79" s="253"/>
      <c r="D79" s="254"/>
      <c r="E79" s="37" t="s">
        <v>73</v>
      </c>
      <c r="F79" s="281">
        <v>0</v>
      </c>
      <c r="G79" s="281"/>
      <c r="H79" s="282"/>
      <c r="I79" s="273"/>
      <c r="J79" s="274"/>
      <c r="K79" s="274"/>
      <c r="L79" s="275"/>
      <c r="M79" s="332"/>
      <c r="N79" s="335"/>
    </row>
    <row r="80" spans="2:14" ht="17.25" customHeight="1">
      <c r="B80" s="255"/>
      <c r="C80" s="256"/>
      <c r="D80" s="257"/>
      <c r="E80" s="37" t="s">
        <v>76</v>
      </c>
      <c r="F80" s="283">
        <v>0</v>
      </c>
      <c r="G80" s="283"/>
      <c r="H80" s="284"/>
      <c r="I80" s="276"/>
      <c r="J80" s="277"/>
      <c r="K80" s="277"/>
      <c r="L80" s="278"/>
      <c r="M80" s="332"/>
      <c r="N80" s="335"/>
    </row>
    <row r="81" spans="1:15" ht="17.25" customHeight="1">
      <c r="B81" s="213" t="s">
        <v>104</v>
      </c>
      <c r="C81" s="214"/>
      <c r="D81" s="215"/>
      <c r="E81" s="222">
        <v>0</v>
      </c>
      <c r="F81" s="223"/>
      <c r="G81" s="223"/>
      <c r="H81" s="224"/>
      <c r="I81" s="225">
        <v>0</v>
      </c>
      <c r="J81" s="226"/>
      <c r="K81" s="226"/>
      <c r="L81" s="227"/>
      <c r="M81" s="332"/>
      <c r="N81" s="335"/>
    </row>
    <row r="82" spans="1:15" ht="17.25" customHeight="1">
      <c r="B82" s="216"/>
      <c r="C82" s="217"/>
      <c r="D82" s="218"/>
      <c r="E82" s="38" t="s">
        <v>66</v>
      </c>
      <c r="F82" s="228">
        <v>0</v>
      </c>
      <c r="G82" s="228"/>
      <c r="H82" s="229"/>
      <c r="I82" s="42" t="s">
        <v>66</v>
      </c>
      <c r="J82" s="230">
        <v>0</v>
      </c>
      <c r="K82" s="230"/>
      <c r="L82" s="231"/>
      <c r="M82" s="332"/>
      <c r="N82" s="335"/>
    </row>
    <row r="83" spans="1:15" ht="17.25" customHeight="1">
      <c r="B83" s="216"/>
      <c r="C83" s="217"/>
      <c r="D83" s="218"/>
      <c r="E83" s="38" t="s">
        <v>69</v>
      </c>
      <c r="F83" s="232">
        <v>0</v>
      </c>
      <c r="G83" s="232"/>
      <c r="H83" s="233"/>
      <c r="I83" s="234" t="s">
        <v>105</v>
      </c>
      <c r="J83" s="235"/>
      <c r="K83" s="235"/>
      <c r="L83" s="236"/>
      <c r="M83" s="332"/>
      <c r="N83" s="335"/>
    </row>
    <row r="84" spans="1:15" ht="17.25" customHeight="1">
      <c r="B84" s="216"/>
      <c r="C84" s="217"/>
      <c r="D84" s="218"/>
      <c r="E84" s="38" t="s">
        <v>72</v>
      </c>
      <c r="F84" s="243">
        <v>0</v>
      </c>
      <c r="G84" s="243"/>
      <c r="H84" s="244"/>
      <c r="I84" s="237"/>
      <c r="J84" s="238"/>
      <c r="K84" s="238"/>
      <c r="L84" s="239"/>
      <c r="M84" s="332"/>
      <c r="N84" s="335"/>
    </row>
    <row r="85" spans="1:15" ht="17.25" customHeight="1">
      <c r="B85" s="216"/>
      <c r="C85" s="217"/>
      <c r="D85" s="218"/>
      <c r="E85" s="38" t="s">
        <v>73</v>
      </c>
      <c r="F85" s="245">
        <v>0</v>
      </c>
      <c r="G85" s="245"/>
      <c r="H85" s="246"/>
      <c r="I85" s="237"/>
      <c r="J85" s="238"/>
      <c r="K85" s="238"/>
      <c r="L85" s="239"/>
      <c r="M85" s="332"/>
      <c r="N85" s="335"/>
    </row>
    <row r="86" spans="1:15" ht="17.25" customHeight="1">
      <c r="B86" s="219"/>
      <c r="C86" s="220"/>
      <c r="D86" s="221"/>
      <c r="E86" s="38" t="s">
        <v>76</v>
      </c>
      <c r="F86" s="247">
        <v>0</v>
      </c>
      <c r="G86" s="247"/>
      <c r="H86" s="248"/>
      <c r="I86" s="240"/>
      <c r="J86" s="241"/>
      <c r="K86" s="241"/>
      <c r="L86" s="242"/>
      <c r="M86" s="332"/>
      <c r="N86" s="335"/>
    </row>
    <row r="87" spans="1:15" ht="17.25" customHeight="1">
      <c r="B87" s="179" t="s">
        <v>155</v>
      </c>
      <c r="C87" s="180"/>
      <c r="D87" s="181"/>
      <c r="E87" s="185">
        <v>0</v>
      </c>
      <c r="F87" s="186"/>
      <c r="G87" s="186"/>
      <c r="H87" s="187"/>
      <c r="I87" s="188">
        <v>0</v>
      </c>
      <c r="J87" s="189"/>
      <c r="K87" s="189"/>
      <c r="L87" s="190"/>
      <c r="M87" s="332"/>
      <c r="N87" s="335"/>
    </row>
    <row r="88" spans="1:15" ht="17.25" customHeight="1">
      <c r="B88" s="182"/>
      <c r="C88" s="183"/>
      <c r="D88" s="184"/>
      <c r="E88" s="202" t="s">
        <v>182</v>
      </c>
      <c r="F88" s="203"/>
      <c r="G88" s="203"/>
      <c r="H88" s="204"/>
      <c r="I88" s="65" t="s">
        <v>66</v>
      </c>
      <c r="J88" s="191">
        <v>0</v>
      </c>
      <c r="K88" s="191"/>
      <c r="L88" s="192"/>
      <c r="M88" s="332"/>
      <c r="N88" s="335"/>
    </row>
    <row r="89" spans="1:15" ht="17.25" customHeight="1">
      <c r="B89" s="193" t="s">
        <v>181</v>
      </c>
      <c r="C89" s="194"/>
      <c r="D89" s="195"/>
      <c r="E89" s="205"/>
      <c r="F89" s="206"/>
      <c r="G89" s="206"/>
      <c r="H89" s="207"/>
      <c r="I89" s="66" t="s">
        <v>69</v>
      </c>
      <c r="J89" s="200" t="s">
        <v>180</v>
      </c>
      <c r="K89" s="200"/>
      <c r="L89" s="201"/>
      <c r="M89" s="332"/>
      <c r="N89" s="335"/>
    </row>
    <row r="90" spans="1:15" ht="17.25" customHeight="1">
      <c r="B90" s="196"/>
      <c r="C90" s="194"/>
      <c r="D90" s="195"/>
      <c r="E90" s="208" t="s">
        <v>183</v>
      </c>
      <c r="F90" s="209"/>
      <c r="G90" s="209"/>
      <c r="H90" s="210"/>
      <c r="I90" s="67"/>
      <c r="J90" s="211" t="s">
        <v>185</v>
      </c>
      <c r="K90" s="211"/>
      <c r="L90" s="212"/>
      <c r="M90" s="332"/>
      <c r="N90" s="335"/>
    </row>
    <row r="91" spans="1:15" ht="17.25" customHeight="1">
      <c r="B91" s="197"/>
      <c r="C91" s="198"/>
      <c r="D91" s="199"/>
      <c r="E91" s="208" t="s">
        <v>184</v>
      </c>
      <c r="F91" s="209"/>
      <c r="G91" s="209"/>
      <c r="H91" s="210"/>
      <c r="I91" s="68"/>
      <c r="J91" s="168" t="s">
        <v>188</v>
      </c>
      <c r="K91" s="168"/>
      <c r="L91" s="169"/>
      <c r="M91" s="333"/>
      <c r="N91" s="336"/>
    </row>
    <row r="92" spans="1:15" ht="17.25" customHeight="1">
      <c r="B92" s="170" t="s">
        <v>106</v>
      </c>
      <c r="C92" s="171"/>
      <c r="D92" s="172"/>
      <c r="E92" s="173">
        <v>0</v>
      </c>
      <c r="F92" s="174"/>
      <c r="G92" s="174"/>
      <c r="H92" s="175"/>
      <c r="I92" s="176">
        <v>0</v>
      </c>
      <c r="J92" s="177"/>
      <c r="K92" s="177"/>
      <c r="L92" s="178"/>
      <c r="M92" s="31" t="s">
        <v>97</v>
      </c>
      <c r="N92" s="31" t="s">
        <v>98</v>
      </c>
    </row>
    <row r="93" spans="1:15" ht="17.25" customHeight="1">
      <c r="A93" s="45" t="s">
        <v>135</v>
      </c>
      <c r="O93" s="45" t="s">
        <v>136</v>
      </c>
    </row>
    <row r="94" spans="1:15" ht="17.25" customHeight="1">
      <c r="B94" s="148" t="s">
        <v>107</v>
      </c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50"/>
    </row>
    <row r="95" spans="1:15" ht="17.25" customHeight="1">
      <c r="B95" s="151" t="s">
        <v>108</v>
      </c>
      <c r="C95" s="152"/>
      <c r="D95" s="153"/>
      <c r="E95" s="154" t="s">
        <v>62</v>
      </c>
      <c r="F95" s="155"/>
      <c r="G95" s="155"/>
      <c r="H95" s="155"/>
      <c r="I95" s="155"/>
      <c r="J95" s="155"/>
      <c r="K95" s="155"/>
      <c r="L95" s="155"/>
      <c r="M95" s="155"/>
      <c r="N95" s="156"/>
    </row>
    <row r="96" spans="1:15" ht="17.25" customHeight="1">
      <c r="B96" s="151" t="s">
        <v>109</v>
      </c>
      <c r="C96" s="152"/>
      <c r="D96" s="153"/>
      <c r="E96" s="154" t="s">
        <v>110</v>
      </c>
      <c r="F96" s="155"/>
      <c r="G96" s="155"/>
      <c r="H96" s="155"/>
      <c r="I96" s="155"/>
      <c r="J96" s="155"/>
      <c r="K96" s="155"/>
      <c r="L96" s="155"/>
      <c r="M96" s="155"/>
      <c r="N96" s="156"/>
    </row>
    <row r="97" spans="1:15" ht="17.25" customHeight="1">
      <c r="B97" s="151" t="s">
        <v>111</v>
      </c>
      <c r="C97" s="152"/>
      <c r="D97" s="153"/>
      <c r="E97" s="599" t="s">
        <v>112</v>
      </c>
      <c r="F97" s="600"/>
      <c r="G97" s="600"/>
      <c r="H97" s="600"/>
      <c r="I97" s="600"/>
      <c r="J97" s="600"/>
      <c r="K97" s="600"/>
      <c r="L97" s="600"/>
      <c r="M97" s="600"/>
      <c r="N97" s="601"/>
    </row>
    <row r="98" spans="1:15" ht="17.25" customHeight="1">
      <c r="B98" s="151" t="s">
        <v>113</v>
      </c>
      <c r="C98" s="152"/>
      <c r="D98" s="153"/>
      <c r="E98" s="154" t="s">
        <v>158</v>
      </c>
      <c r="F98" s="155"/>
      <c r="G98" s="155"/>
      <c r="H98" s="155"/>
      <c r="I98" s="155"/>
      <c r="J98" s="155"/>
      <c r="K98" s="155"/>
      <c r="L98" s="155"/>
      <c r="M98" s="155"/>
      <c r="N98" s="156"/>
    </row>
    <row r="99" spans="1:15" ht="17.25" customHeight="1">
      <c r="A99" s="45" t="s">
        <v>135</v>
      </c>
      <c r="O99" s="45" t="s">
        <v>136</v>
      </c>
    </row>
    <row r="100" spans="1:15" ht="17.25" customHeight="1">
      <c r="B100" s="598" t="s">
        <v>114</v>
      </c>
      <c r="C100" s="598"/>
      <c r="D100" s="598"/>
      <c r="E100" s="598"/>
      <c r="F100" s="598"/>
      <c r="G100" s="598"/>
      <c r="H100" s="598"/>
      <c r="I100" s="598"/>
      <c r="J100" s="598"/>
      <c r="K100" s="598"/>
      <c r="L100" s="598"/>
      <c r="M100" s="598"/>
      <c r="N100" s="598"/>
    </row>
    <row r="101" spans="1:15" ht="17.25" customHeight="1">
      <c r="B101" s="142" t="s">
        <v>115</v>
      </c>
      <c r="C101" s="143"/>
      <c r="D101" s="144"/>
      <c r="E101" s="163" t="s">
        <v>128</v>
      </c>
      <c r="F101" s="164"/>
      <c r="G101" s="164"/>
      <c r="H101" s="164"/>
      <c r="I101" s="164"/>
      <c r="J101" s="164"/>
      <c r="K101" s="164"/>
      <c r="L101" s="164"/>
      <c r="M101" s="164"/>
      <c r="N101" s="164"/>
    </row>
    <row r="102" spans="1:15" ht="17.25" customHeight="1">
      <c r="B102" s="142" t="s">
        <v>116</v>
      </c>
      <c r="C102" s="143"/>
      <c r="D102" s="144"/>
      <c r="E102" s="165" t="s">
        <v>117</v>
      </c>
      <c r="F102" s="166"/>
      <c r="G102" s="166"/>
      <c r="H102" s="166"/>
      <c r="I102" s="166"/>
      <c r="J102" s="166"/>
      <c r="K102" s="166"/>
      <c r="L102" s="166"/>
      <c r="M102" s="166"/>
      <c r="N102" s="167"/>
    </row>
    <row r="103" spans="1:15" ht="17.25" customHeight="1">
      <c r="B103" s="142" t="s">
        <v>118</v>
      </c>
      <c r="C103" s="143"/>
      <c r="D103" s="144"/>
      <c r="E103" s="145" t="s">
        <v>119</v>
      </c>
      <c r="F103" s="146"/>
      <c r="G103" s="146"/>
      <c r="H103" s="146"/>
      <c r="I103" s="146"/>
      <c r="J103" s="146"/>
      <c r="K103" s="146"/>
      <c r="L103" s="146"/>
      <c r="M103" s="146"/>
      <c r="N103" s="147"/>
    </row>
    <row r="104" spans="1:15" ht="17.25" customHeight="1">
      <c r="B104" s="157" t="s">
        <v>120</v>
      </c>
      <c r="C104" s="158"/>
      <c r="D104" s="159"/>
      <c r="E104" s="145" t="s">
        <v>159</v>
      </c>
      <c r="F104" s="146"/>
      <c r="G104" s="146"/>
      <c r="H104" s="146"/>
      <c r="I104" s="146"/>
      <c r="J104" s="146"/>
      <c r="K104" s="146"/>
      <c r="L104" s="146"/>
      <c r="M104" s="146"/>
      <c r="N104" s="147"/>
    </row>
    <row r="106" spans="1:15" ht="17.25" customHeight="1">
      <c r="B106" s="43"/>
    </row>
    <row r="107" spans="1:15" ht="17.25" customHeight="1">
      <c r="B107" s="43"/>
    </row>
    <row r="108" spans="1:15" ht="17.25" customHeight="1">
      <c r="B108" s="43"/>
    </row>
    <row r="109" spans="1:15" ht="17.25" customHeight="1">
      <c r="B109" s="44"/>
    </row>
  </sheetData>
  <mergeCells count="205">
    <mergeCell ref="B104:D104"/>
    <mergeCell ref="E104:N104"/>
    <mergeCell ref="B100:N100"/>
    <mergeCell ref="B101:D101"/>
    <mergeCell ref="E101:N101"/>
    <mergeCell ref="B102:D102"/>
    <mergeCell ref="E102:N102"/>
    <mergeCell ref="B103:D103"/>
    <mergeCell ref="E103:N103"/>
    <mergeCell ref="B96:D96"/>
    <mergeCell ref="E96:N96"/>
    <mergeCell ref="B97:D97"/>
    <mergeCell ref="E97:N97"/>
    <mergeCell ref="B98:D98"/>
    <mergeCell ref="E98:N98"/>
    <mergeCell ref="B92:D92"/>
    <mergeCell ref="E92:H92"/>
    <mergeCell ref="I92:L92"/>
    <mergeCell ref="B94:N94"/>
    <mergeCell ref="B95:D95"/>
    <mergeCell ref="E95:N95"/>
    <mergeCell ref="B87:D88"/>
    <mergeCell ref="E87:H87"/>
    <mergeCell ref="I87:L87"/>
    <mergeCell ref="J88:L88"/>
    <mergeCell ref="B89:D91"/>
    <mergeCell ref="J89:L89"/>
    <mergeCell ref="E88:H89"/>
    <mergeCell ref="E90:H90"/>
    <mergeCell ref="J90:L90"/>
    <mergeCell ref="E91:H91"/>
    <mergeCell ref="J91:L91"/>
    <mergeCell ref="I75:L75"/>
    <mergeCell ref="F76:H76"/>
    <mergeCell ref="J76:L76"/>
    <mergeCell ref="F77:H77"/>
    <mergeCell ref="I77:L80"/>
    <mergeCell ref="F78:H78"/>
    <mergeCell ref="F79:H79"/>
    <mergeCell ref="F80:H80"/>
    <mergeCell ref="B81:D86"/>
    <mergeCell ref="E81:H81"/>
    <mergeCell ref="I81:L81"/>
    <mergeCell ref="F82:H82"/>
    <mergeCell ref="J82:L82"/>
    <mergeCell ref="F83:H83"/>
    <mergeCell ref="I83:L86"/>
    <mergeCell ref="F84:H84"/>
    <mergeCell ref="F85:H85"/>
    <mergeCell ref="F86:H86"/>
    <mergeCell ref="B64:N64"/>
    <mergeCell ref="B65:N65"/>
    <mergeCell ref="B66:D66"/>
    <mergeCell ref="E66:H66"/>
    <mergeCell ref="J66:L66"/>
    <mergeCell ref="B67:D74"/>
    <mergeCell ref="E67:H67"/>
    <mergeCell ref="I67:L67"/>
    <mergeCell ref="M67:M91"/>
    <mergeCell ref="N67:N91"/>
    <mergeCell ref="F71:H71"/>
    <mergeCell ref="J71:L71"/>
    <mergeCell ref="F72:H72"/>
    <mergeCell ref="I72:L74"/>
    <mergeCell ref="F73:H73"/>
    <mergeCell ref="F74:H74"/>
    <mergeCell ref="F68:H68"/>
    <mergeCell ref="J68:L68"/>
    <mergeCell ref="F69:H69"/>
    <mergeCell ref="J69:L69"/>
    <mergeCell ref="F70:H70"/>
    <mergeCell ref="J70:L70"/>
    <mergeCell ref="B75:D80"/>
    <mergeCell ref="E75:H75"/>
    <mergeCell ref="M59:M60"/>
    <mergeCell ref="B62:D62"/>
    <mergeCell ref="E62:H62"/>
    <mergeCell ref="I62:L62"/>
    <mergeCell ref="B57:D58"/>
    <mergeCell ref="E57:H57"/>
    <mergeCell ref="I57:L57"/>
    <mergeCell ref="J58:L58"/>
    <mergeCell ref="B59:D61"/>
    <mergeCell ref="J59:L59"/>
    <mergeCell ref="J60:L60"/>
    <mergeCell ref="J61:L61"/>
    <mergeCell ref="E58:H59"/>
    <mergeCell ref="E60:H60"/>
    <mergeCell ref="E61:H61"/>
    <mergeCell ref="I54:L54"/>
    <mergeCell ref="F55:H55"/>
    <mergeCell ref="I55:L55"/>
    <mergeCell ref="M55:M56"/>
    <mergeCell ref="F56:H56"/>
    <mergeCell ref="I56:L56"/>
    <mergeCell ref="I51:L51"/>
    <mergeCell ref="F52:H52"/>
    <mergeCell ref="J52:L52"/>
    <mergeCell ref="F53:H53"/>
    <mergeCell ref="M53:M54"/>
    <mergeCell ref="J53:L53"/>
    <mergeCell ref="N38:N40"/>
    <mergeCell ref="F39:H39"/>
    <mergeCell ref="J39:L39"/>
    <mergeCell ref="F40:H40"/>
    <mergeCell ref="J40:L40"/>
    <mergeCell ref="M47:M49"/>
    <mergeCell ref="N47:N49"/>
    <mergeCell ref="B48:D50"/>
    <mergeCell ref="F48:H48"/>
    <mergeCell ref="F49:H49"/>
    <mergeCell ref="F50:H50"/>
    <mergeCell ref="M50:M51"/>
    <mergeCell ref="N50:N51"/>
    <mergeCell ref="B51:D56"/>
    <mergeCell ref="E51:H51"/>
    <mergeCell ref="B45:D47"/>
    <mergeCell ref="E45:H45"/>
    <mergeCell ref="I45:L45"/>
    <mergeCell ref="F46:H46"/>
    <mergeCell ref="J46:L46"/>
    <mergeCell ref="F47:H47"/>
    <mergeCell ref="I47:L50"/>
    <mergeCell ref="N53:N54"/>
    <mergeCell ref="F54:H54"/>
    <mergeCell ref="B38:D40"/>
    <mergeCell ref="E38:H38"/>
    <mergeCell ref="I38:L38"/>
    <mergeCell ref="J32:L32"/>
    <mergeCell ref="M32:M33"/>
    <mergeCell ref="B41:D44"/>
    <mergeCell ref="F41:H41"/>
    <mergeCell ref="I41:L44"/>
    <mergeCell ref="F42:H42"/>
    <mergeCell ref="M42:M44"/>
    <mergeCell ref="F43:H43"/>
    <mergeCell ref="F44:H44"/>
    <mergeCell ref="M38:M40"/>
    <mergeCell ref="N32:N33"/>
    <mergeCell ref="F33:H33"/>
    <mergeCell ref="J33:L33"/>
    <mergeCell ref="B34:D37"/>
    <mergeCell ref="F34:H34"/>
    <mergeCell ref="J34:L34"/>
    <mergeCell ref="M34:M36"/>
    <mergeCell ref="N34:N36"/>
    <mergeCell ref="B28:N28"/>
    <mergeCell ref="B29:D29"/>
    <mergeCell ref="E29:H29"/>
    <mergeCell ref="I29:L29"/>
    <mergeCell ref="B30:D33"/>
    <mergeCell ref="E30:H30"/>
    <mergeCell ref="I30:L30"/>
    <mergeCell ref="F31:H31"/>
    <mergeCell ref="J31:L31"/>
    <mergeCell ref="F32:H32"/>
    <mergeCell ref="F35:H35"/>
    <mergeCell ref="I35:L37"/>
    <mergeCell ref="F36:H36"/>
    <mergeCell ref="F37:H37"/>
    <mergeCell ref="B24:B25"/>
    <mergeCell ref="C24:D24"/>
    <mergeCell ref="E24:N24"/>
    <mergeCell ref="C25:D25"/>
    <mergeCell ref="E25:N25"/>
    <mergeCell ref="B27:N27"/>
    <mergeCell ref="I22:J22"/>
    <mergeCell ref="M22:M23"/>
    <mergeCell ref="N22:N23"/>
    <mergeCell ref="C23:D23"/>
    <mergeCell ref="E23:F23"/>
    <mergeCell ref="I23:J23"/>
    <mergeCell ref="C19:C20"/>
    <mergeCell ref="E19:F19"/>
    <mergeCell ref="G19:N20"/>
    <mergeCell ref="E20:F20"/>
    <mergeCell ref="B21:B23"/>
    <mergeCell ref="C21:D21"/>
    <mergeCell ref="E21:H21"/>
    <mergeCell ref="I21:L21"/>
    <mergeCell ref="C22:D22"/>
    <mergeCell ref="E22:F22"/>
    <mergeCell ref="B13:B20"/>
    <mergeCell ref="C17:C18"/>
    <mergeCell ref="E17:F17"/>
    <mergeCell ref="G17:N18"/>
    <mergeCell ref="E18:F18"/>
    <mergeCell ref="B4:N4"/>
    <mergeCell ref="C5:N5"/>
    <mergeCell ref="C6:N6"/>
    <mergeCell ref="C7:N7"/>
    <mergeCell ref="D8:N8"/>
    <mergeCell ref="C9:N9"/>
    <mergeCell ref="G15:N15"/>
    <mergeCell ref="E16:F16"/>
    <mergeCell ref="G16:N16"/>
    <mergeCell ref="C10:N10"/>
    <mergeCell ref="C11:N11"/>
    <mergeCell ref="C12:N12"/>
    <mergeCell ref="C13:C16"/>
    <mergeCell ref="E13:F13"/>
    <mergeCell ref="G13:N13"/>
    <mergeCell ref="E14:F14"/>
    <mergeCell ref="G14:N14"/>
    <mergeCell ref="E15:F15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0978C-C9C0-4ABA-9526-84FAD97E45CC}">
  <dimension ref="A2:T67"/>
  <sheetViews>
    <sheetView zoomScale="133" zoomScaleNormal="50" workbookViewId="0">
      <selection activeCell="N32" sqref="N32:N33"/>
    </sheetView>
  </sheetViews>
  <sheetFormatPr baseColWidth="10" defaultColWidth="10" defaultRowHeight="17.5" customHeight="1"/>
  <cols>
    <col min="1" max="1" width="2.1640625" style="59" customWidth="1"/>
    <col min="2" max="2" width="15.5" style="1" customWidth="1"/>
    <col min="3" max="4" width="13.1640625" style="1" customWidth="1"/>
    <col min="5" max="14" width="8.83203125" style="1" customWidth="1"/>
    <col min="15" max="17" width="9.1640625" style="1" bestFit="1" customWidth="1"/>
    <col min="18" max="19" width="8.83203125" style="1" customWidth="1"/>
    <col min="20" max="20" width="2.1640625" style="59" customWidth="1"/>
    <col min="21" max="16384" width="10" style="1"/>
  </cols>
  <sheetData>
    <row r="2" spans="1:20" ht="17.5" customHeight="1">
      <c r="B2" s="832" t="s">
        <v>189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  <c r="P2" s="832"/>
      <c r="Q2" s="832"/>
      <c r="R2" s="832"/>
      <c r="S2" s="832"/>
    </row>
    <row r="3" spans="1:20" ht="17.5" customHeight="1">
      <c r="B3" s="832"/>
      <c r="C3" s="832"/>
      <c r="D3" s="832"/>
      <c r="E3" s="832"/>
      <c r="F3" s="832"/>
      <c r="G3" s="832"/>
      <c r="H3" s="832"/>
      <c r="I3" s="832"/>
      <c r="J3" s="832"/>
      <c r="K3" s="832"/>
      <c r="L3" s="832"/>
      <c r="M3" s="832"/>
      <c r="N3" s="832"/>
      <c r="O3" s="832"/>
      <c r="P3" s="832"/>
      <c r="Q3" s="832"/>
      <c r="R3" s="832"/>
      <c r="S3" s="832"/>
    </row>
    <row r="4" spans="1:20" ht="17.5" customHeight="1">
      <c r="B4" s="833" t="s">
        <v>156</v>
      </c>
      <c r="C4" s="834"/>
      <c r="D4" s="835"/>
      <c r="E4" s="842" t="s">
        <v>157</v>
      </c>
      <c r="F4" s="843"/>
      <c r="G4" s="843"/>
      <c r="H4" s="843"/>
      <c r="I4" s="843"/>
      <c r="J4" s="843"/>
      <c r="K4" s="843"/>
      <c r="L4" s="843"/>
      <c r="M4" s="843"/>
      <c r="N4" s="843"/>
      <c r="O4" s="843"/>
      <c r="P4" s="843"/>
      <c r="Q4" s="843"/>
      <c r="R4" s="843"/>
      <c r="S4" s="844"/>
    </row>
    <row r="5" spans="1:20" ht="17.5" customHeight="1">
      <c r="B5" s="833" t="s">
        <v>152</v>
      </c>
      <c r="C5" s="834"/>
      <c r="D5" s="835"/>
      <c r="E5" s="842" t="s">
        <v>154</v>
      </c>
      <c r="F5" s="845"/>
      <c r="G5" s="845"/>
      <c r="H5" s="845"/>
      <c r="I5" s="845"/>
      <c r="J5" s="845"/>
      <c r="K5" s="845"/>
      <c r="L5" s="845"/>
      <c r="M5" s="845"/>
      <c r="N5" s="845"/>
      <c r="O5" s="845"/>
      <c r="P5" s="845"/>
      <c r="Q5" s="845"/>
      <c r="R5" s="845"/>
      <c r="S5" s="846"/>
    </row>
    <row r="6" spans="1:20" ht="17.5" customHeight="1">
      <c r="B6" s="836" t="s">
        <v>153</v>
      </c>
      <c r="C6" s="837"/>
      <c r="D6" s="838"/>
      <c r="E6" s="833" t="s">
        <v>138</v>
      </c>
      <c r="F6" s="834"/>
      <c r="G6" s="835"/>
      <c r="H6" s="842" t="s">
        <v>142</v>
      </c>
      <c r="I6" s="845"/>
      <c r="J6" s="845"/>
      <c r="K6" s="845"/>
      <c r="L6" s="845"/>
      <c r="M6" s="845"/>
      <c r="N6" s="845"/>
      <c r="O6" s="845"/>
      <c r="P6" s="845"/>
      <c r="Q6" s="845"/>
      <c r="R6" s="845"/>
      <c r="S6" s="846"/>
    </row>
    <row r="7" spans="1:20" ht="17.5" customHeight="1">
      <c r="B7" s="839"/>
      <c r="C7" s="840"/>
      <c r="D7" s="841"/>
      <c r="E7" s="833" t="s">
        <v>139</v>
      </c>
      <c r="F7" s="834"/>
      <c r="G7" s="835"/>
      <c r="H7" s="842" t="s">
        <v>143</v>
      </c>
      <c r="I7" s="845"/>
      <c r="J7" s="845"/>
      <c r="K7" s="845"/>
      <c r="L7" s="845"/>
      <c r="M7" s="845"/>
      <c r="N7" s="845"/>
      <c r="O7" s="845"/>
      <c r="P7" s="845"/>
      <c r="Q7" s="845"/>
      <c r="R7" s="845"/>
      <c r="S7" s="846"/>
    </row>
    <row r="8" spans="1:20" ht="16" customHeight="1">
      <c r="A8" s="59" t="s">
        <v>132</v>
      </c>
      <c r="B8" s="851" t="s">
        <v>28</v>
      </c>
      <c r="C8" s="852"/>
      <c r="D8" s="830" t="s">
        <v>0</v>
      </c>
      <c r="E8" s="830">
        <v>50</v>
      </c>
      <c r="F8" s="830">
        <v>55</v>
      </c>
      <c r="G8" s="830">
        <v>60</v>
      </c>
      <c r="H8" s="830">
        <v>65</v>
      </c>
      <c r="I8" s="830">
        <v>70</v>
      </c>
      <c r="J8" s="830">
        <v>75</v>
      </c>
      <c r="K8" s="830">
        <v>80</v>
      </c>
      <c r="L8" s="830">
        <v>85</v>
      </c>
      <c r="M8" s="830">
        <v>90</v>
      </c>
      <c r="N8" s="830">
        <v>95</v>
      </c>
      <c r="O8" s="830">
        <v>100</v>
      </c>
      <c r="P8" s="830">
        <v>105</v>
      </c>
      <c r="Q8" s="830">
        <v>110</v>
      </c>
      <c r="R8" s="830">
        <v>115</v>
      </c>
      <c r="S8" s="830">
        <v>120</v>
      </c>
      <c r="T8" s="59" t="s">
        <v>134</v>
      </c>
    </row>
    <row r="9" spans="1:20" s="2" customFormat="1" ht="16" customHeight="1">
      <c r="A9" s="60" t="s">
        <v>133</v>
      </c>
      <c r="B9" s="853"/>
      <c r="C9" s="854"/>
      <c r="D9" s="831"/>
      <c r="E9" s="831"/>
      <c r="F9" s="831"/>
      <c r="G9" s="831"/>
      <c r="H9" s="831"/>
      <c r="I9" s="831"/>
      <c r="J9" s="831"/>
      <c r="K9" s="831"/>
      <c r="L9" s="831"/>
      <c r="M9" s="831"/>
      <c r="N9" s="831"/>
      <c r="O9" s="831"/>
      <c r="P9" s="831"/>
      <c r="Q9" s="831"/>
      <c r="R9" s="831"/>
      <c r="S9" s="831"/>
      <c r="T9" s="60" t="s">
        <v>134</v>
      </c>
    </row>
    <row r="10" spans="1:20" ht="16" customHeight="1">
      <c r="A10" s="1"/>
      <c r="B10" s="847" t="s">
        <v>190</v>
      </c>
      <c r="C10" s="70" t="s">
        <v>141</v>
      </c>
      <c r="D10" s="3">
        <v>3.8</v>
      </c>
      <c r="E10" s="4">
        <f t="shared" ref="E10:E63" si="0">ROUND($D10*50,-1)</f>
        <v>190</v>
      </c>
      <c r="F10" s="4">
        <f t="shared" ref="F10:F63" si="1">ROUND($D10*55,-1)</f>
        <v>210</v>
      </c>
      <c r="G10" s="4">
        <f t="shared" ref="G10:G63" si="2">ROUND($D10*60,-1)</f>
        <v>230</v>
      </c>
      <c r="H10" s="4">
        <f t="shared" ref="H10:H63" si="3">ROUND($D10*65,-1)</f>
        <v>250</v>
      </c>
      <c r="I10" s="4">
        <f t="shared" ref="I10:I63" si="4">ROUND($D10*70,-1)</f>
        <v>270</v>
      </c>
      <c r="J10" s="4">
        <f t="shared" ref="J10:J63" si="5">ROUND($D10*75,-1)</f>
        <v>290</v>
      </c>
      <c r="K10" s="4">
        <f>ROUND($D10*80*0.97,-1)</f>
        <v>290</v>
      </c>
      <c r="L10" s="4">
        <f>ROUND($D10*85*0.94,-1)</f>
        <v>300</v>
      </c>
      <c r="M10" s="4">
        <f>ROUND($D10*90*0.91,-1)</f>
        <v>310</v>
      </c>
      <c r="N10" s="4">
        <f>ROUND($D10*95*0.88,-1)</f>
        <v>320</v>
      </c>
      <c r="O10" s="4">
        <f>ROUND($D10*100*0.85,-1)</f>
        <v>320</v>
      </c>
      <c r="P10" s="4">
        <f>ROUND($D10*105*0.82,-1)</f>
        <v>330</v>
      </c>
      <c r="Q10" s="4">
        <f t="shared" ref="Q10:Q63" si="6">ROUND($D10*110*0.79,-1)</f>
        <v>330</v>
      </c>
      <c r="R10" s="4">
        <f t="shared" ref="R10:R63" si="7">ROUND($D10*115*0.76,-1)</f>
        <v>330</v>
      </c>
      <c r="S10" s="4">
        <f t="shared" ref="S10:S63" si="8">ROUND($D10*120*0.73,-1)</f>
        <v>330</v>
      </c>
      <c r="T10" s="71"/>
    </row>
    <row r="11" spans="1:20" ht="16" customHeight="1">
      <c r="A11" s="1"/>
      <c r="B11" s="848"/>
      <c r="C11" s="70" t="s">
        <v>199</v>
      </c>
      <c r="D11" s="3">
        <v>3.8</v>
      </c>
      <c r="E11" s="4">
        <f t="shared" si="0"/>
        <v>190</v>
      </c>
      <c r="F11" s="4">
        <f t="shared" si="1"/>
        <v>210</v>
      </c>
      <c r="G11" s="4">
        <f t="shared" si="2"/>
        <v>230</v>
      </c>
      <c r="H11" s="4">
        <f t="shared" si="3"/>
        <v>250</v>
      </c>
      <c r="I11" s="4">
        <f t="shared" si="4"/>
        <v>270</v>
      </c>
      <c r="J11" s="4">
        <f t="shared" si="5"/>
        <v>290</v>
      </c>
      <c r="K11" s="4">
        <f t="shared" ref="K11:K63" si="9">ROUND($D11*80*0.97,-1)</f>
        <v>290</v>
      </c>
      <c r="L11" s="4">
        <f t="shared" ref="L11:L63" si="10">ROUND($D11*85*0.94,-1)</f>
        <v>300</v>
      </c>
      <c r="M11" s="4">
        <f t="shared" ref="M11:M63" si="11">ROUND($D11*90*0.91,-1)</f>
        <v>310</v>
      </c>
      <c r="N11" s="4">
        <f t="shared" ref="N11:N63" si="12">ROUND($D11*95*0.88,-1)</f>
        <v>320</v>
      </c>
      <c r="O11" s="4">
        <f t="shared" ref="O11:O63" si="13">ROUND($D11*100*0.85,-1)</f>
        <v>320</v>
      </c>
      <c r="P11" s="4">
        <f t="shared" ref="P11:P63" si="14">ROUND($D11*105*0.82,-1)</f>
        <v>330</v>
      </c>
      <c r="Q11" s="4">
        <f t="shared" si="6"/>
        <v>330</v>
      </c>
      <c r="R11" s="4">
        <f t="shared" si="7"/>
        <v>330</v>
      </c>
      <c r="S11" s="4">
        <f t="shared" si="8"/>
        <v>330</v>
      </c>
      <c r="T11" s="1"/>
    </row>
    <row r="12" spans="1:20" ht="16" customHeight="1">
      <c r="A12" s="1"/>
      <c r="B12" s="849" t="s">
        <v>191</v>
      </c>
      <c r="C12" s="70" t="s">
        <v>198</v>
      </c>
      <c r="D12" s="3">
        <v>5.5</v>
      </c>
      <c r="E12" s="4">
        <f t="shared" si="0"/>
        <v>280</v>
      </c>
      <c r="F12" s="4">
        <f t="shared" si="1"/>
        <v>300</v>
      </c>
      <c r="G12" s="4">
        <f t="shared" si="2"/>
        <v>330</v>
      </c>
      <c r="H12" s="4">
        <f t="shared" si="3"/>
        <v>360</v>
      </c>
      <c r="I12" s="4">
        <f t="shared" si="4"/>
        <v>390</v>
      </c>
      <c r="J12" s="4">
        <f t="shared" si="5"/>
        <v>410</v>
      </c>
      <c r="K12" s="4">
        <f>ROUND($D12*80*0.97,-1)</f>
        <v>430</v>
      </c>
      <c r="L12" s="4">
        <f>ROUND($D12*85*0.94,-1)</f>
        <v>440</v>
      </c>
      <c r="M12" s="4">
        <f>ROUND($D12*90*0.91,-1)</f>
        <v>450</v>
      </c>
      <c r="N12" s="4">
        <f>ROUND($D12*95*0.88,-1)</f>
        <v>460</v>
      </c>
      <c r="O12" s="4">
        <f>ROUND($D12*100*0.85,-1)</f>
        <v>470</v>
      </c>
      <c r="P12" s="4">
        <f>ROUND($D12*105*0.82,-1)</f>
        <v>470</v>
      </c>
      <c r="Q12" s="4">
        <f t="shared" si="6"/>
        <v>480</v>
      </c>
      <c r="R12" s="4">
        <f t="shared" si="7"/>
        <v>480</v>
      </c>
      <c r="S12" s="4">
        <f t="shared" si="8"/>
        <v>480</v>
      </c>
      <c r="T12" s="1"/>
    </row>
    <row r="13" spans="1:20" ht="16" customHeight="1">
      <c r="A13" s="1"/>
      <c r="B13" s="849"/>
      <c r="C13" s="70" t="s">
        <v>192</v>
      </c>
      <c r="D13" s="3">
        <v>8</v>
      </c>
      <c r="E13" s="4">
        <f t="shared" si="0"/>
        <v>400</v>
      </c>
      <c r="F13" s="4">
        <f t="shared" si="1"/>
        <v>440</v>
      </c>
      <c r="G13" s="4">
        <f t="shared" si="2"/>
        <v>480</v>
      </c>
      <c r="H13" s="4">
        <f t="shared" si="3"/>
        <v>520</v>
      </c>
      <c r="I13" s="4">
        <f t="shared" si="4"/>
        <v>560</v>
      </c>
      <c r="J13" s="4">
        <f t="shared" si="5"/>
        <v>600</v>
      </c>
      <c r="K13" s="4">
        <f t="shared" si="9"/>
        <v>620</v>
      </c>
      <c r="L13" s="4">
        <f t="shared" si="10"/>
        <v>640</v>
      </c>
      <c r="M13" s="4">
        <f t="shared" si="11"/>
        <v>660</v>
      </c>
      <c r="N13" s="4">
        <f t="shared" si="12"/>
        <v>670</v>
      </c>
      <c r="O13" s="4">
        <f t="shared" si="13"/>
        <v>680</v>
      </c>
      <c r="P13" s="4">
        <f t="shared" si="14"/>
        <v>690</v>
      </c>
      <c r="Q13" s="4">
        <f t="shared" si="6"/>
        <v>700</v>
      </c>
      <c r="R13" s="4">
        <f t="shared" si="7"/>
        <v>700</v>
      </c>
      <c r="S13" s="4">
        <f t="shared" si="8"/>
        <v>700</v>
      </c>
      <c r="T13" s="1"/>
    </row>
    <row r="14" spans="1:20" ht="16" customHeight="1">
      <c r="A14" s="1"/>
      <c r="B14" s="847" t="s">
        <v>140</v>
      </c>
      <c r="C14" s="70">
        <v>6</v>
      </c>
      <c r="D14" s="3">
        <v>5.5</v>
      </c>
      <c r="E14" s="4">
        <f t="shared" si="0"/>
        <v>280</v>
      </c>
      <c r="F14" s="4">
        <f t="shared" si="1"/>
        <v>300</v>
      </c>
      <c r="G14" s="4">
        <f t="shared" si="2"/>
        <v>330</v>
      </c>
      <c r="H14" s="4">
        <f t="shared" si="3"/>
        <v>360</v>
      </c>
      <c r="I14" s="4">
        <f t="shared" si="4"/>
        <v>390</v>
      </c>
      <c r="J14" s="4">
        <f t="shared" si="5"/>
        <v>410</v>
      </c>
      <c r="K14" s="4">
        <f t="shared" si="9"/>
        <v>430</v>
      </c>
      <c r="L14" s="4">
        <f t="shared" si="10"/>
        <v>440</v>
      </c>
      <c r="M14" s="4">
        <f t="shared" si="11"/>
        <v>450</v>
      </c>
      <c r="N14" s="4">
        <f t="shared" si="12"/>
        <v>460</v>
      </c>
      <c r="O14" s="4">
        <f t="shared" si="13"/>
        <v>470</v>
      </c>
      <c r="P14" s="4">
        <f t="shared" si="14"/>
        <v>470</v>
      </c>
      <c r="Q14" s="4">
        <f t="shared" si="6"/>
        <v>480</v>
      </c>
      <c r="R14" s="4">
        <f t="shared" si="7"/>
        <v>480</v>
      </c>
      <c r="S14" s="4">
        <f t="shared" si="8"/>
        <v>480</v>
      </c>
      <c r="T14" s="1"/>
    </row>
    <row r="15" spans="1:20" ht="16" customHeight="1">
      <c r="A15" s="1"/>
      <c r="B15" s="848"/>
      <c r="C15" s="70">
        <v>7</v>
      </c>
      <c r="D15" s="3">
        <v>7.2</v>
      </c>
      <c r="E15" s="4">
        <f t="shared" si="0"/>
        <v>360</v>
      </c>
      <c r="F15" s="4">
        <f t="shared" si="1"/>
        <v>400</v>
      </c>
      <c r="G15" s="4">
        <f t="shared" si="2"/>
        <v>430</v>
      </c>
      <c r="H15" s="4">
        <f t="shared" si="3"/>
        <v>470</v>
      </c>
      <c r="I15" s="4">
        <f t="shared" si="4"/>
        <v>500</v>
      </c>
      <c r="J15" s="4">
        <f t="shared" si="5"/>
        <v>540</v>
      </c>
      <c r="K15" s="4">
        <f t="shared" si="9"/>
        <v>560</v>
      </c>
      <c r="L15" s="4">
        <f t="shared" si="10"/>
        <v>580</v>
      </c>
      <c r="M15" s="4">
        <f t="shared" si="11"/>
        <v>590</v>
      </c>
      <c r="N15" s="4">
        <f t="shared" si="12"/>
        <v>600</v>
      </c>
      <c r="O15" s="4">
        <f t="shared" si="13"/>
        <v>610</v>
      </c>
      <c r="P15" s="4">
        <f t="shared" si="14"/>
        <v>620</v>
      </c>
      <c r="Q15" s="4">
        <f t="shared" si="6"/>
        <v>630</v>
      </c>
      <c r="R15" s="4">
        <f t="shared" si="7"/>
        <v>630</v>
      </c>
      <c r="S15" s="4">
        <f t="shared" si="8"/>
        <v>630</v>
      </c>
      <c r="T15" s="1"/>
    </row>
    <row r="16" spans="1:20" ht="16" customHeight="1">
      <c r="A16" s="1"/>
      <c r="B16" s="848"/>
      <c r="C16" s="70">
        <v>8</v>
      </c>
      <c r="D16" s="3">
        <v>9.5</v>
      </c>
      <c r="E16" s="4">
        <f t="shared" si="0"/>
        <v>480</v>
      </c>
      <c r="F16" s="4">
        <f t="shared" si="1"/>
        <v>520</v>
      </c>
      <c r="G16" s="4">
        <f t="shared" si="2"/>
        <v>570</v>
      </c>
      <c r="H16" s="4">
        <f t="shared" si="3"/>
        <v>620</v>
      </c>
      <c r="I16" s="4">
        <f t="shared" si="4"/>
        <v>670</v>
      </c>
      <c r="J16" s="4">
        <f t="shared" si="5"/>
        <v>710</v>
      </c>
      <c r="K16" s="4">
        <f t="shared" si="9"/>
        <v>740</v>
      </c>
      <c r="L16" s="4">
        <f t="shared" si="10"/>
        <v>760</v>
      </c>
      <c r="M16" s="4">
        <f t="shared" si="11"/>
        <v>780</v>
      </c>
      <c r="N16" s="4">
        <f t="shared" si="12"/>
        <v>790</v>
      </c>
      <c r="O16" s="4">
        <f t="shared" si="13"/>
        <v>810</v>
      </c>
      <c r="P16" s="4">
        <f t="shared" si="14"/>
        <v>820</v>
      </c>
      <c r="Q16" s="4">
        <f t="shared" si="6"/>
        <v>830</v>
      </c>
      <c r="R16" s="4">
        <f t="shared" si="7"/>
        <v>830</v>
      </c>
      <c r="S16" s="4">
        <f t="shared" si="8"/>
        <v>830</v>
      </c>
      <c r="T16" s="1"/>
    </row>
    <row r="17" spans="1:20" ht="16" customHeight="1">
      <c r="A17" s="1"/>
      <c r="B17" s="848"/>
      <c r="C17" s="70">
        <v>9</v>
      </c>
      <c r="D17" s="3">
        <v>9.6</v>
      </c>
      <c r="E17" s="4">
        <f t="shared" si="0"/>
        <v>480</v>
      </c>
      <c r="F17" s="4">
        <f t="shared" si="1"/>
        <v>530</v>
      </c>
      <c r="G17" s="4">
        <f t="shared" si="2"/>
        <v>580</v>
      </c>
      <c r="H17" s="4">
        <f t="shared" si="3"/>
        <v>620</v>
      </c>
      <c r="I17" s="4">
        <f t="shared" si="4"/>
        <v>670</v>
      </c>
      <c r="J17" s="4">
        <f t="shared" si="5"/>
        <v>720</v>
      </c>
      <c r="K17" s="4">
        <f t="shared" si="9"/>
        <v>740</v>
      </c>
      <c r="L17" s="4">
        <f t="shared" si="10"/>
        <v>770</v>
      </c>
      <c r="M17" s="4">
        <f t="shared" si="11"/>
        <v>790</v>
      </c>
      <c r="N17" s="4">
        <f t="shared" si="12"/>
        <v>800</v>
      </c>
      <c r="O17" s="4">
        <f t="shared" si="13"/>
        <v>820</v>
      </c>
      <c r="P17" s="4">
        <f t="shared" si="14"/>
        <v>830</v>
      </c>
      <c r="Q17" s="4">
        <f t="shared" si="6"/>
        <v>830</v>
      </c>
      <c r="R17" s="4">
        <f t="shared" si="7"/>
        <v>840</v>
      </c>
      <c r="S17" s="4">
        <f t="shared" si="8"/>
        <v>840</v>
      </c>
      <c r="T17" s="1"/>
    </row>
    <row r="18" spans="1:20" ht="16" customHeight="1">
      <c r="A18" s="1"/>
      <c r="B18" s="848"/>
      <c r="C18" s="70">
        <v>9.66</v>
      </c>
      <c r="D18" s="3">
        <v>9.7680000000000007</v>
      </c>
      <c r="E18" s="4">
        <f t="shared" si="0"/>
        <v>490</v>
      </c>
      <c r="F18" s="4">
        <f t="shared" si="1"/>
        <v>540</v>
      </c>
      <c r="G18" s="4">
        <f t="shared" si="2"/>
        <v>590</v>
      </c>
      <c r="H18" s="4">
        <f t="shared" si="3"/>
        <v>630</v>
      </c>
      <c r="I18" s="4">
        <f t="shared" si="4"/>
        <v>680</v>
      </c>
      <c r="J18" s="4">
        <f t="shared" si="5"/>
        <v>730</v>
      </c>
      <c r="K18" s="4">
        <f t="shared" si="9"/>
        <v>760</v>
      </c>
      <c r="L18" s="4">
        <f t="shared" si="10"/>
        <v>780</v>
      </c>
      <c r="M18" s="4">
        <f t="shared" si="11"/>
        <v>800</v>
      </c>
      <c r="N18" s="4">
        <f t="shared" si="12"/>
        <v>820</v>
      </c>
      <c r="O18" s="4">
        <f t="shared" si="13"/>
        <v>830</v>
      </c>
      <c r="P18" s="4">
        <f t="shared" si="14"/>
        <v>840</v>
      </c>
      <c r="Q18" s="4">
        <f t="shared" si="6"/>
        <v>850</v>
      </c>
      <c r="R18" s="4">
        <f t="shared" si="7"/>
        <v>850</v>
      </c>
      <c r="S18" s="4">
        <f t="shared" si="8"/>
        <v>860</v>
      </c>
      <c r="T18" s="1"/>
    </row>
    <row r="19" spans="1:20" ht="16" customHeight="1">
      <c r="A19" s="1"/>
      <c r="B19" s="848"/>
      <c r="C19" s="70">
        <v>12</v>
      </c>
      <c r="D19" s="3">
        <v>10.1</v>
      </c>
      <c r="E19" s="4">
        <f t="shared" si="0"/>
        <v>510</v>
      </c>
      <c r="F19" s="4">
        <f t="shared" si="1"/>
        <v>560</v>
      </c>
      <c r="G19" s="4">
        <f t="shared" si="2"/>
        <v>610</v>
      </c>
      <c r="H19" s="4">
        <f t="shared" si="3"/>
        <v>660</v>
      </c>
      <c r="I19" s="4">
        <f t="shared" si="4"/>
        <v>710</v>
      </c>
      <c r="J19" s="4">
        <f t="shared" si="5"/>
        <v>760</v>
      </c>
      <c r="K19" s="4">
        <f t="shared" si="9"/>
        <v>780</v>
      </c>
      <c r="L19" s="4">
        <f t="shared" si="10"/>
        <v>810</v>
      </c>
      <c r="M19" s="4">
        <f t="shared" si="11"/>
        <v>830</v>
      </c>
      <c r="N19" s="4">
        <f t="shared" si="12"/>
        <v>840</v>
      </c>
      <c r="O19" s="4">
        <f t="shared" si="13"/>
        <v>860</v>
      </c>
      <c r="P19" s="4">
        <f t="shared" si="14"/>
        <v>870</v>
      </c>
      <c r="Q19" s="4">
        <f t="shared" si="6"/>
        <v>880</v>
      </c>
      <c r="R19" s="4">
        <f t="shared" si="7"/>
        <v>880</v>
      </c>
      <c r="S19" s="4">
        <f t="shared" si="8"/>
        <v>880</v>
      </c>
      <c r="T19" s="1"/>
    </row>
    <row r="20" spans="1:20" ht="16" customHeight="1">
      <c r="A20" s="1"/>
      <c r="B20" s="848"/>
      <c r="C20" s="70">
        <v>13</v>
      </c>
      <c r="D20" s="3">
        <v>10.1</v>
      </c>
      <c r="E20" s="4">
        <f t="shared" si="0"/>
        <v>510</v>
      </c>
      <c r="F20" s="4">
        <f t="shared" si="1"/>
        <v>560</v>
      </c>
      <c r="G20" s="4">
        <f t="shared" si="2"/>
        <v>610</v>
      </c>
      <c r="H20" s="4">
        <f t="shared" si="3"/>
        <v>660</v>
      </c>
      <c r="I20" s="4">
        <f t="shared" si="4"/>
        <v>710</v>
      </c>
      <c r="J20" s="4">
        <f t="shared" si="5"/>
        <v>760</v>
      </c>
      <c r="K20" s="4">
        <f t="shared" si="9"/>
        <v>780</v>
      </c>
      <c r="L20" s="4">
        <f t="shared" si="10"/>
        <v>810</v>
      </c>
      <c r="M20" s="4">
        <f t="shared" si="11"/>
        <v>830</v>
      </c>
      <c r="N20" s="4">
        <f t="shared" si="12"/>
        <v>840</v>
      </c>
      <c r="O20" s="4">
        <f t="shared" si="13"/>
        <v>860</v>
      </c>
      <c r="P20" s="4">
        <f t="shared" si="14"/>
        <v>870</v>
      </c>
      <c r="Q20" s="4">
        <f t="shared" si="6"/>
        <v>880</v>
      </c>
      <c r="R20" s="4">
        <f t="shared" si="7"/>
        <v>880</v>
      </c>
      <c r="S20" s="4">
        <f t="shared" si="8"/>
        <v>880</v>
      </c>
      <c r="T20" s="1"/>
    </row>
    <row r="21" spans="1:20" ht="16" customHeight="1">
      <c r="A21" s="1"/>
      <c r="B21" s="848"/>
      <c r="C21" s="70">
        <v>14</v>
      </c>
      <c r="D21" s="3">
        <v>10.4</v>
      </c>
      <c r="E21" s="4">
        <f t="shared" si="0"/>
        <v>520</v>
      </c>
      <c r="F21" s="4">
        <f t="shared" si="1"/>
        <v>570</v>
      </c>
      <c r="G21" s="4">
        <f t="shared" si="2"/>
        <v>620</v>
      </c>
      <c r="H21" s="4">
        <f t="shared" si="3"/>
        <v>680</v>
      </c>
      <c r="I21" s="4">
        <f t="shared" si="4"/>
        <v>730</v>
      </c>
      <c r="J21" s="4">
        <f t="shared" si="5"/>
        <v>780</v>
      </c>
      <c r="K21" s="4">
        <f t="shared" si="9"/>
        <v>810</v>
      </c>
      <c r="L21" s="4">
        <f t="shared" si="10"/>
        <v>830</v>
      </c>
      <c r="M21" s="4">
        <f t="shared" si="11"/>
        <v>850</v>
      </c>
      <c r="N21" s="4">
        <f t="shared" si="12"/>
        <v>870</v>
      </c>
      <c r="O21" s="4">
        <f t="shared" si="13"/>
        <v>880</v>
      </c>
      <c r="P21" s="4">
        <f t="shared" si="14"/>
        <v>900</v>
      </c>
      <c r="Q21" s="4">
        <f t="shared" si="6"/>
        <v>900</v>
      </c>
      <c r="R21" s="4">
        <f t="shared" si="7"/>
        <v>910</v>
      </c>
      <c r="S21" s="4">
        <f t="shared" si="8"/>
        <v>910</v>
      </c>
      <c r="T21" s="1"/>
    </row>
    <row r="22" spans="1:20" ht="16" customHeight="1">
      <c r="A22" s="1"/>
      <c r="B22" s="848"/>
      <c r="C22" s="70">
        <v>15</v>
      </c>
      <c r="D22" s="3">
        <v>10.9</v>
      </c>
      <c r="E22" s="4">
        <f t="shared" si="0"/>
        <v>550</v>
      </c>
      <c r="F22" s="4">
        <f t="shared" si="1"/>
        <v>600</v>
      </c>
      <c r="G22" s="4">
        <f t="shared" si="2"/>
        <v>650</v>
      </c>
      <c r="H22" s="4">
        <f t="shared" si="3"/>
        <v>710</v>
      </c>
      <c r="I22" s="4">
        <f t="shared" si="4"/>
        <v>760</v>
      </c>
      <c r="J22" s="4">
        <f t="shared" si="5"/>
        <v>820</v>
      </c>
      <c r="K22" s="4">
        <f t="shared" si="9"/>
        <v>850</v>
      </c>
      <c r="L22" s="4">
        <f t="shared" si="10"/>
        <v>870</v>
      </c>
      <c r="M22" s="4">
        <f t="shared" si="11"/>
        <v>890</v>
      </c>
      <c r="N22" s="4">
        <f t="shared" si="12"/>
        <v>910</v>
      </c>
      <c r="O22" s="4">
        <f t="shared" si="13"/>
        <v>930</v>
      </c>
      <c r="P22" s="4">
        <f t="shared" si="14"/>
        <v>940</v>
      </c>
      <c r="Q22" s="4">
        <f t="shared" si="6"/>
        <v>950</v>
      </c>
      <c r="R22" s="4">
        <f t="shared" si="7"/>
        <v>950</v>
      </c>
      <c r="S22" s="4">
        <f t="shared" si="8"/>
        <v>950</v>
      </c>
      <c r="T22" s="1"/>
    </row>
    <row r="23" spans="1:20" ht="16" customHeight="1">
      <c r="A23" s="1"/>
      <c r="B23" s="850"/>
      <c r="C23" s="70">
        <v>16</v>
      </c>
      <c r="D23" s="3">
        <v>12.7</v>
      </c>
      <c r="E23" s="4">
        <f t="shared" si="0"/>
        <v>640</v>
      </c>
      <c r="F23" s="4">
        <f t="shared" si="1"/>
        <v>700</v>
      </c>
      <c r="G23" s="4">
        <f t="shared" si="2"/>
        <v>760</v>
      </c>
      <c r="H23" s="4">
        <f t="shared" si="3"/>
        <v>830</v>
      </c>
      <c r="I23" s="4">
        <f t="shared" si="4"/>
        <v>890</v>
      </c>
      <c r="J23" s="4">
        <f t="shared" si="5"/>
        <v>950</v>
      </c>
      <c r="K23" s="4">
        <f t="shared" si="9"/>
        <v>990</v>
      </c>
      <c r="L23" s="4">
        <f t="shared" si="10"/>
        <v>1010</v>
      </c>
      <c r="M23" s="4">
        <f t="shared" si="11"/>
        <v>1040</v>
      </c>
      <c r="N23" s="4">
        <f t="shared" si="12"/>
        <v>1060</v>
      </c>
      <c r="O23" s="4">
        <f t="shared" si="13"/>
        <v>1080</v>
      </c>
      <c r="P23" s="4">
        <f t="shared" si="14"/>
        <v>1090</v>
      </c>
      <c r="Q23" s="4">
        <f t="shared" si="6"/>
        <v>1100</v>
      </c>
      <c r="R23" s="4">
        <f t="shared" si="7"/>
        <v>1110</v>
      </c>
      <c r="S23" s="4">
        <f t="shared" si="8"/>
        <v>1110</v>
      </c>
      <c r="T23" s="1"/>
    </row>
    <row r="24" spans="1:20" s="1" customFormat="1" ht="16" customHeight="1">
      <c r="B24" s="847" t="s">
        <v>144</v>
      </c>
      <c r="C24" s="70">
        <v>10</v>
      </c>
      <c r="D24" s="3">
        <v>3.6</v>
      </c>
      <c r="E24" s="4">
        <f t="shared" si="0"/>
        <v>180</v>
      </c>
      <c r="F24" s="4">
        <f t="shared" si="1"/>
        <v>200</v>
      </c>
      <c r="G24" s="4">
        <f t="shared" si="2"/>
        <v>220</v>
      </c>
      <c r="H24" s="4">
        <f t="shared" si="3"/>
        <v>230</v>
      </c>
      <c r="I24" s="4">
        <f t="shared" si="4"/>
        <v>250</v>
      </c>
      <c r="J24" s="4">
        <f t="shared" si="5"/>
        <v>270</v>
      </c>
      <c r="K24" s="4">
        <f t="shared" si="9"/>
        <v>280</v>
      </c>
      <c r="L24" s="4">
        <f t="shared" si="10"/>
        <v>290</v>
      </c>
      <c r="M24" s="4">
        <f t="shared" si="11"/>
        <v>290</v>
      </c>
      <c r="N24" s="4">
        <f t="shared" si="12"/>
        <v>300</v>
      </c>
      <c r="O24" s="4">
        <f t="shared" si="13"/>
        <v>310</v>
      </c>
      <c r="P24" s="4">
        <f t="shared" si="14"/>
        <v>310</v>
      </c>
      <c r="Q24" s="4">
        <f t="shared" si="6"/>
        <v>310</v>
      </c>
      <c r="R24" s="4">
        <f t="shared" si="7"/>
        <v>310</v>
      </c>
      <c r="S24" s="4">
        <f t="shared" si="8"/>
        <v>320</v>
      </c>
    </row>
    <row r="25" spans="1:20" ht="16" customHeight="1">
      <c r="A25" s="1"/>
      <c r="B25" s="335"/>
      <c r="C25" s="70">
        <v>12</v>
      </c>
      <c r="D25" s="3">
        <v>3.9</v>
      </c>
      <c r="E25" s="4">
        <f t="shared" si="0"/>
        <v>200</v>
      </c>
      <c r="F25" s="4">
        <f t="shared" si="1"/>
        <v>210</v>
      </c>
      <c r="G25" s="4">
        <f t="shared" si="2"/>
        <v>230</v>
      </c>
      <c r="H25" s="4">
        <f t="shared" si="3"/>
        <v>250</v>
      </c>
      <c r="I25" s="4">
        <f t="shared" si="4"/>
        <v>270</v>
      </c>
      <c r="J25" s="4">
        <f t="shared" si="5"/>
        <v>290</v>
      </c>
      <c r="K25" s="4">
        <f t="shared" si="9"/>
        <v>300</v>
      </c>
      <c r="L25" s="4">
        <f t="shared" si="10"/>
        <v>310</v>
      </c>
      <c r="M25" s="4">
        <f t="shared" si="11"/>
        <v>320</v>
      </c>
      <c r="N25" s="4">
        <f t="shared" si="12"/>
        <v>330</v>
      </c>
      <c r="O25" s="4">
        <f t="shared" si="13"/>
        <v>330</v>
      </c>
      <c r="P25" s="4">
        <f t="shared" si="14"/>
        <v>340</v>
      </c>
      <c r="Q25" s="4">
        <f t="shared" si="6"/>
        <v>340</v>
      </c>
      <c r="R25" s="4">
        <f t="shared" si="7"/>
        <v>340</v>
      </c>
      <c r="S25" s="4">
        <f t="shared" si="8"/>
        <v>340</v>
      </c>
      <c r="T25" s="1"/>
    </row>
    <row r="26" spans="1:20" ht="16" customHeight="1">
      <c r="A26" s="1"/>
      <c r="B26" s="335"/>
      <c r="C26" s="70">
        <v>13</v>
      </c>
      <c r="D26" s="3">
        <v>4.4000000000000004</v>
      </c>
      <c r="E26" s="4">
        <f t="shared" si="0"/>
        <v>220</v>
      </c>
      <c r="F26" s="4">
        <f t="shared" si="1"/>
        <v>240</v>
      </c>
      <c r="G26" s="4">
        <f t="shared" si="2"/>
        <v>260</v>
      </c>
      <c r="H26" s="4">
        <f t="shared" si="3"/>
        <v>290</v>
      </c>
      <c r="I26" s="4">
        <f t="shared" si="4"/>
        <v>310</v>
      </c>
      <c r="J26" s="4">
        <f t="shared" si="5"/>
        <v>330</v>
      </c>
      <c r="K26" s="4">
        <f t="shared" si="9"/>
        <v>340</v>
      </c>
      <c r="L26" s="4">
        <f t="shared" si="10"/>
        <v>350</v>
      </c>
      <c r="M26" s="4">
        <f t="shared" si="11"/>
        <v>360</v>
      </c>
      <c r="N26" s="4">
        <f t="shared" si="12"/>
        <v>370</v>
      </c>
      <c r="O26" s="4">
        <f t="shared" si="13"/>
        <v>370</v>
      </c>
      <c r="P26" s="4">
        <f t="shared" si="14"/>
        <v>380</v>
      </c>
      <c r="Q26" s="4">
        <f t="shared" si="6"/>
        <v>380</v>
      </c>
      <c r="R26" s="4">
        <f t="shared" si="7"/>
        <v>380</v>
      </c>
      <c r="S26" s="4">
        <f t="shared" si="8"/>
        <v>390</v>
      </c>
      <c r="T26" s="1"/>
    </row>
    <row r="27" spans="1:20" ht="16" customHeight="1">
      <c r="A27" s="1"/>
      <c r="B27" s="335"/>
      <c r="C27" s="70">
        <v>15</v>
      </c>
      <c r="D27" s="3">
        <v>5.5</v>
      </c>
      <c r="E27" s="4">
        <f t="shared" si="0"/>
        <v>280</v>
      </c>
      <c r="F27" s="4">
        <f t="shared" si="1"/>
        <v>300</v>
      </c>
      <c r="G27" s="4">
        <f t="shared" si="2"/>
        <v>330</v>
      </c>
      <c r="H27" s="4">
        <f t="shared" si="3"/>
        <v>360</v>
      </c>
      <c r="I27" s="4">
        <f t="shared" si="4"/>
        <v>390</v>
      </c>
      <c r="J27" s="4">
        <f t="shared" si="5"/>
        <v>410</v>
      </c>
      <c r="K27" s="4">
        <f t="shared" si="9"/>
        <v>430</v>
      </c>
      <c r="L27" s="4">
        <f t="shared" si="10"/>
        <v>440</v>
      </c>
      <c r="M27" s="4">
        <f t="shared" si="11"/>
        <v>450</v>
      </c>
      <c r="N27" s="4">
        <f t="shared" si="12"/>
        <v>460</v>
      </c>
      <c r="O27" s="4">
        <f t="shared" si="13"/>
        <v>470</v>
      </c>
      <c r="P27" s="4">
        <f t="shared" si="14"/>
        <v>470</v>
      </c>
      <c r="Q27" s="4">
        <f t="shared" si="6"/>
        <v>480</v>
      </c>
      <c r="R27" s="4">
        <f t="shared" si="7"/>
        <v>480</v>
      </c>
      <c r="S27" s="4">
        <f t="shared" si="8"/>
        <v>480</v>
      </c>
      <c r="T27" s="1"/>
    </row>
    <row r="28" spans="1:20" ht="16" customHeight="1">
      <c r="A28" s="1"/>
      <c r="B28" s="335"/>
      <c r="C28" s="70">
        <v>18</v>
      </c>
      <c r="D28" s="3">
        <v>6.5</v>
      </c>
      <c r="E28" s="4">
        <f t="shared" si="0"/>
        <v>330</v>
      </c>
      <c r="F28" s="4">
        <f t="shared" si="1"/>
        <v>360</v>
      </c>
      <c r="G28" s="4">
        <f t="shared" si="2"/>
        <v>390</v>
      </c>
      <c r="H28" s="4">
        <f t="shared" si="3"/>
        <v>420</v>
      </c>
      <c r="I28" s="4">
        <f t="shared" si="4"/>
        <v>460</v>
      </c>
      <c r="J28" s="4">
        <f t="shared" si="5"/>
        <v>490</v>
      </c>
      <c r="K28" s="4">
        <f t="shared" si="9"/>
        <v>500</v>
      </c>
      <c r="L28" s="4">
        <f t="shared" si="10"/>
        <v>520</v>
      </c>
      <c r="M28" s="4">
        <f t="shared" si="11"/>
        <v>530</v>
      </c>
      <c r="N28" s="4">
        <f t="shared" si="12"/>
        <v>540</v>
      </c>
      <c r="O28" s="4">
        <f t="shared" si="13"/>
        <v>550</v>
      </c>
      <c r="P28" s="4">
        <f t="shared" si="14"/>
        <v>560</v>
      </c>
      <c r="Q28" s="4">
        <f t="shared" si="6"/>
        <v>560</v>
      </c>
      <c r="R28" s="4">
        <f t="shared" si="7"/>
        <v>570</v>
      </c>
      <c r="S28" s="4">
        <f t="shared" si="8"/>
        <v>570</v>
      </c>
      <c r="T28" s="1"/>
    </row>
    <row r="29" spans="1:20" ht="16" customHeight="1">
      <c r="A29" s="1"/>
      <c r="B29" s="335"/>
      <c r="C29" s="70">
        <v>27</v>
      </c>
      <c r="D29" s="3">
        <v>7.5</v>
      </c>
      <c r="E29" s="4">
        <f t="shared" si="0"/>
        <v>380</v>
      </c>
      <c r="F29" s="4">
        <f t="shared" si="1"/>
        <v>410</v>
      </c>
      <c r="G29" s="4">
        <f t="shared" si="2"/>
        <v>450</v>
      </c>
      <c r="H29" s="4">
        <f t="shared" si="3"/>
        <v>490</v>
      </c>
      <c r="I29" s="4">
        <f t="shared" si="4"/>
        <v>530</v>
      </c>
      <c r="J29" s="4">
        <f t="shared" si="5"/>
        <v>560</v>
      </c>
      <c r="K29" s="4">
        <f t="shared" si="9"/>
        <v>580</v>
      </c>
      <c r="L29" s="4">
        <f t="shared" si="10"/>
        <v>600</v>
      </c>
      <c r="M29" s="4">
        <f t="shared" si="11"/>
        <v>610</v>
      </c>
      <c r="N29" s="4">
        <f t="shared" si="12"/>
        <v>630</v>
      </c>
      <c r="O29" s="4">
        <f t="shared" si="13"/>
        <v>640</v>
      </c>
      <c r="P29" s="4">
        <f t="shared" si="14"/>
        <v>650</v>
      </c>
      <c r="Q29" s="4">
        <f t="shared" si="6"/>
        <v>650</v>
      </c>
      <c r="R29" s="4">
        <f t="shared" si="7"/>
        <v>660</v>
      </c>
      <c r="S29" s="4">
        <f t="shared" si="8"/>
        <v>660</v>
      </c>
      <c r="T29" s="1"/>
    </row>
    <row r="30" spans="1:20" ht="16" customHeight="1">
      <c r="A30" s="1"/>
      <c r="B30" s="335"/>
      <c r="C30" s="70">
        <v>31</v>
      </c>
      <c r="D30" s="3">
        <v>10</v>
      </c>
      <c r="E30" s="4">
        <f t="shared" si="0"/>
        <v>500</v>
      </c>
      <c r="F30" s="4">
        <f t="shared" si="1"/>
        <v>550</v>
      </c>
      <c r="G30" s="4">
        <f t="shared" si="2"/>
        <v>600</v>
      </c>
      <c r="H30" s="4">
        <f t="shared" si="3"/>
        <v>650</v>
      </c>
      <c r="I30" s="4">
        <f t="shared" si="4"/>
        <v>700</v>
      </c>
      <c r="J30" s="4">
        <f t="shared" si="5"/>
        <v>750</v>
      </c>
      <c r="K30" s="4">
        <f t="shared" si="9"/>
        <v>780</v>
      </c>
      <c r="L30" s="4">
        <f t="shared" si="10"/>
        <v>800</v>
      </c>
      <c r="M30" s="4">
        <f t="shared" si="11"/>
        <v>820</v>
      </c>
      <c r="N30" s="4">
        <f t="shared" si="12"/>
        <v>840</v>
      </c>
      <c r="O30" s="4">
        <f t="shared" si="13"/>
        <v>850</v>
      </c>
      <c r="P30" s="4">
        <f t="shared" si="14"/>
        <v>860</v>
      </c>
      <c r="Q30" s="4">
        <f t="shared" si="6"/>
        <v>870</v>
      </c>
      <c r="R30" s="4">
        <f t="shared" si="7"/>
        <v>870</v>
      </c>
      <c r="S30" s="4">
        <f t="shared" si="8"/>
        <v>880</v>
      </c>
      <c r="T30" s="1"/>
    </row>
    <row r="31" spans="1:20" ht="16" customHeight="1">
      <c r="A31" s="1"/>
      <c r="B31" s="336"/>
      <c r="C31" s="70">
        <v>34</v>
      </c>
      <c r="D31" s="3">
        <v>12</v>
      </c>
      <c r="E31" s="4">
        <f t="shared" si="0"/>
        <v>600</v>
      </c>
      <c r="F31" s="4">
        <f t="shared" si="1"/>
        <v>660</v>
      </c>
      <c r="G31" s="4">
        <f t="shared" si="2"/>
        <v>720</v>
      </c>
      <c r="H31" s="4">
        <f t="shared" si="3"/>
        <v>780</v>
      </c>
      <c r="I31" s="4">
        <f t="shared" si="4"/>
        <v>840</v>
      </c>
      <c r="J31" s="4">
        <f t="shared" si="5"/>
        <v>900</v>
      </c>
      <c r="K31" s="4">
        <f t="shared" si="9"/>
        <v>930</v>
      </c>
      <c r="L31" s="4">
        <f t="shared" si="10"/>
        <v>960</v>
      </c>
      <c r="M31" s="4">
        <f t="shared" si="11"/>
        <v>980</v>
      </c>
      <c r="N31" s="4">
        <f t="shared" si="12"/>
        <v>1000</v>
      </c>
      <c r="O31" s="4">
        <f t="shared" si="13"/>
        <v>1020</v>
      </c>
      <c r="P31" s="4">
        <f t="shared" si="14"/>
        <v>1030</v>
      </c>
      <c r="Q31" s="4">
        <f t="shared" si="6"/>
        <v>1040</v>
      </c>
      <c r="R31" s="4">
        <f t="shared" si="7"/>
        <v>1050</v>
      </c>
      <c r="S31" s="4">
        <f t="shared" si="8"/>
        <v>1050</v>
      </c>
      <c r="T31" s="1"/>
    </row>
    <row r="32" spans="1:20" s="1" customFormat="1" ht="16" customHeight="1">
      <c r="B32" s="633" t="s">
        <v>10</v>
      </c>
      <c r="C32" s="70" t="s">
        <v>11</v>
      </c>
      <c r="D32" s="3">
        <v>4.8</v>
      </c>
      <c r="E32" s="4">
        <f t="shared" si="0"/>
        <v>240</v>
      </c>
      <c r="F32" s="4">
        <f t="shared" si="1"/>
        <v>260</v>
      </c>
      <c r="G32" s="4">
        <f t="shared" si="2"/>
        <v>290</v>
      </c>
      <c r="H32" s="4">
        <f t="shared" si="3"/>
        <v>310</v>
      </c>
      <c r="I32" s="4">
        <f t="shared" si="4"/>
        <v>340</v>
      </c>
      <c r="J32" s="4">
        <f t="shared" si="5"/>
        <v>360</v>
      </c>
      <c r="K32" s="4">
        <f t="shared" si="9"/>
        <v>370</v>
      </c>
      <c r="L32" s="4">
        <f t="shared" si="10"/>
        <v>380</v>
      </c>
      <c r="M32" s="4">
        <f t="shared" si="11"/>
        <v>390</v>
      </c>
      <c r="N32" s="4">
        <f t="shared" si="12"/>
        <v>400</v>
      </c>
      <c r="O32" s="4">
        <f t="shared" si="13"/>
        <v>410</v>
      </c>
      <c r="P32" s="4">
        <f t="shared" si="14"/>
        <v>410</v>
      </c>
      <c r="Q32" s="4">
        <f t="shared" si="6"/>
        <v>420</v>
      </c>
      <c r="R32" s="4">
        <f t="shared" si="7"/>
        <v>420</v>
      </c>
      <c r="S32" s="4">
        <f t="shared" si="8"/>
        <v>420</v>
      </c>
    </row>
    <row r="33" spans="1:20" ht="16" customHeight="1">
      <c r="A33" s="1"/>
      <c r="B33" s="633"/>
      <c r="C33" s="70" t="s">
        <v>12</v>
      </c>
      <c r="D33" s="3">
        <v>6.8</v>
      </c>
      <c r="E33" s="4">
        <f t="shared" si="0"/>
        <v>340</v>
      </c>
      <c r="F33" s="4">
        <f t="shared" si="1"/>
        <v>370</v>
      </c>
      <c r="G33" s="4">
        <f t="shared" si="2"/>
        <v>410</v>
      </c>
      <c r="H33" s="4">
        <f t="shared" si="3"/>
        <v>440</v>
      </c>
      <c r="I33" s="4">
        <f t="shared" si="4"/>
        <v>480</v>
      </c>
      <c r="J33" s="4">
        <f t="shared" si="5"/>
        <v>510</v>
      </c>
      <c r="K33" s="4">
        <f t="shared" si="9"/>
        <v>530</v>
      </c>
      <c r="L33" s="4">
        <f t="shared" si="10"/>
        <v>540</v>
      </c>
      <c r="M33" s="4">
        <f t="shared" si="11"/>
        <v>560</v>
      </c>
      <c r="N33" s="4">
        <f t="shared" si="12"/>
        <v>570</v>
      </c>
      <c r="O33" s="4">
        <f t="shared" si="13"/>
        <v>580</v>
      </c>
      <c r="P33" s="4">
        <f t="shared" si="14"/>
        <v>590</v>
      </c>
      <c r="Q33" s="4">
        <f t="shared" si="6"/>
        <v>590</v>
      </c>
      <c r="R33" s="4">
        <f t="shared" si="7"/>
        <v>590</v>
      </c>
      <c r="S33" s="4">
        <f t="shared" si="8"/>
        <v>600</v>
      </c>
      <c r="T33" s="1"/>
    </row>
    <row r="34" spans="1:20" ht="16" customHeight="1">
      <c r="A34" s="1"/>
      <c r="B34" s="633"/>
      <c r="C34" s="70" t="s">
        <v>13</v>
      </c>
      <c r="D34" s="3">
        <v>8.8000000000000007</v>
      </c>
      <c r="E34" s="4">
        <f t="shared" si="0"/>
        <v>440</v>
      </c>
      <c r="F34" s="4">
        <f t="shared" si="1"/>
        <v>480</v>
      </c>
      <c r="G34" s="4">
        <f t="shared" si="2"/>
        <v>530</v>
      </c>
      <c r="H34" s="4">
        <f t="shared" si="3"/>
        <v>570</v>
      </c>
      <c r="I34" s="4">
        <f t="shared" si="4"/>
        <v>620</v>
      </c>
      <c r="J34" s="4">
        <f t="shared" si="5"/>
        <v>660</v>
      </c>
      <c r="K34" s="4">
        <f t="shared" si="9"/>
        <v>680</v>
      </c>
      <c r="L34" s="4">
        <f t="shared" si="10"/>
        <v>700</v>
      </c>
      <c r="M34" s="4">
        <f t="shared" si="11"/>
        <v>720</v>
      </c>
      <c r="N34" s="4">
        <f t="shared" si="12"/>
        <v>740</v>
      </c>
      <c r="O34" s="4">
        <f t="shared" si="13"/>
        <v>750</v>
      </c>
      <c r="P34" s="4">
        <f t="shared" si="14"/>
        <v>760</v>
      </c>
      <c r="Q34" s="4">
        <f t="shared" si="6"/>
        <v>760</v>
      </c>
      <c r="R34" s="4">
        <f t="shared" si="7"/>
        <v>770</v>
      </c>
      <c r="S34" s="4">
        <f t="shared" si="8"/>
        <v>770</v>
      </c>
      <c r="T34" s="1"/>
    </row>
    <row r="35" spans="1:20" ht="16" customHeight="1">
      <c r="A35" s="1"/>
      <c r="B35" s="633"/>
      <c r="C35" s="70" t="s">
        <v>14</v>
      </c>
      <c r="D35" s="3">
        <v>11</v>
      </c>
      <c r="E35" s="4">
        <f t="shared" si="0"/>
        <v>550</v>
      </c>
      <c r="F35" s="4">
        <f t="shared" si="1"/>
        <v>610</v>
      </c>
      <c r="G35" s="4">
        <f t="shared" si="2"/>
        <v>660</v>
      </c>
      <c r="H35" s="4">
        <f t="shared" si="3"/>
        <v>720</v>
      </c>
      <c r="I35" s="4">
        <f t="shared" si="4"/>
        <v>770</v>
      </c>
      <c r="J35" s="4">
        <f t="shared" si="5"/>
        <v>830</v>
      </c>
      <c r="K35" s="4">
        <f t="shared" si="9"/>
        <v>850</v>
      </c>
      <c r="L35" s="4">
        <f t="shared" si="10"/>
        <v>880</v>
      </c>
      <c r="M35" s="4">
        <f t="shared" si="11"/>
        <v>900</v>
      </c>
      <c r="N35" s="4">
        <f t="shared" si="12"/>
        <v>920</v>
      </c>
      <c r="O35" s="4">
        <f t="shared" si="13"/>
        <v>940</v>
      </c>
      <c r="P35" s="4">
        <f t="shared" si="14"/>
        <v>950</v>
      </c>
      <c r="Q35" s="4">
        <f t="shared" si="6"/>
        <v>960</v>
      </c>
      <c r="R35" s="4">
        <f t="shared" si="7"/>
        <v>960</v>
      </c>
      <c r="S35" s="4">
        <f t="shared" si="8"/>
        <v>960</v>
      </c>
      <c r="T35" s="1"/>
    </row>
    <row r="36" spans="1:20" ht="16" customHeight="1">
      <c r="A36" s="1"/>
      <c r="B36" s="633"/>
      <c r="C36" s="70" t="s">
        <v>15</v>
      </c>
      <c r="D36" s="3">
        <v>14</v>
      </c>
      <c r="E36" s="4">
        <f t="shared" si="0"/>
        <v>700</v>
      </c>
      <c r="F36" s="4">
        <f t="shared" si="1"/>
        <v>770</v>
      </c>
      <c r="G36" s="4">
        <f t="shared" si="2"/>
        <v>840</v>
      </c>
      <c r="H36" s="4">
        <f t="shared" si="3"/>
        <v>910</v>
      </c>
      <c r="I36" s="4">
        <f t="shared" si="4"/>
        <v>980</v>
      </c>
      <c r="J36" s="4">
        <f t="shared" si="5"/>
        <v>1050</v>
      </c>
      <c r="K36" s="4">
        <f t="shared" si="9"/>
        <v>1090</v>
      </c>
      <c r="L36" s="4">
        <f t="shared" si="10"/>
        <v>1120</v>
      </c>
      <c r="M36" s="4">
        <f t="shared" si="11"/>
        <v>1150</v>
      </c>
      <c r="N36" s="4">
        <f t="shared" si="12"/>
        <v>1170</v>
      </c>
      <c r="O36" s="4">
        <f t="shared" si="13"/>
        <v>1190</v>
      </c>
      <c r="P36" s="4">
        <f t="shared" si="14"/>
        <v>1210</v>
      </c>
      <c r="Q36" s="4">
        <f t="shared" si="6"/>
        <v>1220</v>
      </c>
      <c r="R36" s="4">
        <f t="shared" si="7"/>
        <v>1220</v>
      </c>
      <c r="S36" s="4">
        <f t="shared" si="8"/>
        <v>1230</v>
      </c>
      <c r="T36" s="1"/>
    </row>
    <row r="37" spans="1:20" s="1" customFormat="1" ht="16" customHeight="1">
      <c r="B37" s="849" t="s">
        <v>145</v>
      </c>
      <c r="C37" s="70">
        <v>1.09728</v>
      </c>
      <c r="D37" s="3">
        <v>4.2240000000000002</v>
      </c>
      <c r="E37" s="4">
        <f t="shared" si="0"/>
        <v>210</v>
      </c>
      <c r="F37" s="4">
        <f t="shared" si="1"/>
        <v>230</v>
      </c>
      <c r="G37" s="4">
        <f t="shared" si="2"/>
        <v>250</v>
      </c>
      <c r="H37" s="4">
        <f t="shared" si="3"/>
        <v>270</v>
      </c>
      <c r="I37" s="4">
        <f t="shared" si="4"/>
        <v>300</v>
      </c>
      <c r="J37" s="4">
        <f t="shared" si="5"/>
        <v>320</v>
      </c>
      <c r="K37" s="4">
        <f t="shared" si="9"/>
        <v>330</v>
      </c>
      <c r="L37" s="4">
        <f t="shared" si="10"/>
        <v>340</v>
      </c>
      <c r="M37" s="4">
        <f t="shared" si="11"/>
        <v>350</v>
      </c>
      <c r="N37" s="4">
        <f t="shared" si="12"/>
        <v>350</v>
      </c>
      <c r="O37" s="4">
        <f t="shared" si="13"/>
        <v>360</v>
      </c>
      <c r="P37" s="4">
        <f t="shared" si="14"/>
        <v>360</v>
      </c>
      <c r="Q37" s="4">
        <f t="shared" si="6"/>
        <v>370</v>
      </c>
      <c r="R37" s="4">
        <f t="shared" si="7"/>
        <v>370</v>
      </c>
      <c r="S37" s="4">
        <f t="shared" si="8"/>
        <v>370</v>
      </c>
    </row>
    <row r="38" spans="1:20" ht="16" customHeight="1">
      <c r="A38" s="1"/>
      <c r="B38" s="633"/>
      <c r="C38" s="70">
        <v>2.46888</v>
      </c>
      <c r="D38" s="3">
        <v>7.6560000000000015</v>
      </c>
      <c r="E38" s="4">
        <f t="shared" si="0"/>
        <v>380</v>
      </c>
      <c r="F38" s="4">
        <f t="shared" si="1"/>
        <v>420</v>
      </c>
      <c r="G38" s="4">
        <f t="shared" si="2"/>
        <v>460</v>
      </c>
      <c r="H38" s="4">
        <f t="shared" si="3"/>
        <v>500</v>
      </c>
      <c r="I38" s="4">
        <f t="shared" si="4"/>
        <v>540</v>
      </c>
      <c r="J38" s="4">
        <f t="shared" si="5"/>
        <v>570</v>
      </c>
      <c r="K38" s="4">
        <f t="shared" si="9"/>
        <v>590</v>
      </c>
      <c r="L38" s="4">
        <f t="shared" si="10"/>
        <v>610</v>
      </c>
      <c r="M38" s="4">
        <f t="shared" si="11"/>
        <v>630</v>
      </c>
      <c r="N38" s="4">
        <f t="shared" si="12"/>
        <v>640</v>
      </c>
      <c r="O38" s="4">
        <f t="shared" si="13"/>
        <v>650</v>
      </c>
      <c r="P38" s="4">
        <f t="shared" si="14"/>
        <v>660</v>
      </c>
      <c r="Q38" s="4">
        <f t="shared" si="6"/>
        <v>670</v>
      </c>
      <c r="R38" s="4">
        <f t="shared" si="7"/>
        <v>670</v>
      </c>
      <c r="S38" s="4">
        <f t="shared" si="8"/>
        <v>670</v>
      </c>
      <c r="T38" s="1"/>
    </row>
    <row r="39" spans="1:20" ht="16" customHeight="1">
      <c r="A39" s="1"/>
      <c r="B39" s="633"/>
      <c r="C39" s="70">
        <v>2.7431999999999999</v>
      </c>
      <c r="D39" s="3">
        <v>9.240000000000002</v>
      </c>
      <c r="E39" s="4">
        <f t="shared" si="0"/>
        <v>460</v>
      </c>
      <c r="F39" s="4">
        <f t="shared" si="1"/>
        <v>510</v>
      </c>
      <c r="G39" s="4">
        <f t="shared" si="2"/>
        <v>550</v>
      </c>
      <c r="H39" s="4">
        <f t="shared" si="3"/>
        <v>600</v>
      </c>
      <c r="I39" s="4">
        <f t="shared" si="4"/>
        <v>650</v>
      </c>
      <c r="J39" s="4">
        <f t="shared" si="5"/>
        <v>690</v>
      </c>
      <c r="K39" s="4">
        <f t="shared" si="9"/>
        <v>720</v>
      </c>
      <c r="L39" s="4">
        <f t="shared" si="10"/>
        <v>740</v>
      </c>
      <c r="M39" s="4">
        <f t="shared" si="11"/>
        <v>760</v>
      </c>
      <c r="N39" s="4">
        <f t="shared" si="12"/>
        <v>770</v>
      </c>
      <c r="O39" s="4">
        <f t="shared" si="13"/>
        <v>790</v>
      </c>
      <c r="P39" s="4">
        <f t="shared" si="14"/>
        <v>800</v>
      </c>
      <c r="Q39" s="4">
        <f t="shared" si="6"/>
        <v>800</v>
      </c>
      <c r="R39" s="4">
        <f t="shared" si="7"/>
        <v>810</v>
      </c>
      <c r="S39" s="4">
        <f t="shared" si="8"/>
        <v>810</v>
      </c>
      <c r="T39" s="1"/>
    </row>
    <row r="40" spans="1:20" s="1" customFormat="1" ht="16" customHeight="1">
      <c r="B40" s="849" t="s">
        <v>146</v>
      </c>
      <c r="C40" s="69" t="s">
        <v>1</v>
      </c>
      <c r="D40" s="3">
        <v>6.1</v>
      </c>
      <c r="E40" s="4">
        <f t="shared" si="0"/>
        <v>310</v>
      </c>
      <c r="F40" s="4">
        <f t="shared" si="1"/>
        <v>340</v>
      </c>
      <c r="G40" s="4">
        <f t="shared" si="2"/>
        <v>370</v>
      </c>
      <c r="H40" s="4">
        <f t="shared" si="3"/>
        <v>400</v>
      </c>
      <c r="I40" s="4">
        <f t="shared" si="4"/>
        <v>430</v>
      </c>
      <c r="J40" s="4">
        <f t="shared" si="5"/>
        <v>460</v>
      </c>
      <c r="K40" s="4">
        <f t="shared" si="9"/>
        <v>470</v>
      </c>
      <c r="L40" s="4">
        <f t="shared" si="10"/>
        <v>490</v>
      </c>
      <c r="M40" s="4">
        <f t="shared" si="11"/>
        <v>500</v>
      </c>
      <c r="N40" s="4">
        <f t="shared" si="12"/>
        <v>510</v>
      </c>
      <c r="O40" s="4">
        <f t="shared" si="13"/>
        <v>520</v>
      </c>
      <c r="P40" s="4">
        <f t="shared" si="14"/>
        <v>530</v>
      </c>
      <c r="Q40" s="4">
        <f t="shared" si="6"/>
        <v>530</v>
      </c>
      <c r="R40" s="4">
        <f t="shared" si="7"/>
        <v>530</v>
      </c>
      <c r="S40" s="4">
        <f t="shared" si="8"/>
        <v>530</v>
      </c>
    </row>
    <row r="41" spans="1:20" ht="16" customHeight="1">
      <c r="A41" s="1"/>
      <c r="B41" s="633"/>
      <c r="C41" s="69" t="s">
        <v>2</v>
      </c>
      <c r="D41" s="3">
        <v>7</v>
      </c>
      <c r="E41" s="4">
        <f t="shared" si="0"/>
        <v>350</v>
      </c>
      <c r="F41" s="4">
        <f t="shared" si="1"/>
        <v>390</v>
      </c>
      <c r="G41" s="4">
        <f t="shared" si="2"/>
        <v>420</v>
      </c>
      <c r="H41" s="4">
        <f t="shared" si="3"/>
        <v>460</v>
      </c>
      <c r="I41" s="4">
        <f t="shared" si="4"/>
        <v>490</v>
      </c>
      <c r="J41" s="4">
        <f t="shared" si="5"/>
        <v>530</v>
      </c>
      <c r="K41" s="4">
        <f t="shared" si="9"/>
        <v>540</v>
      </c>
      <c r="L41" s="4">
        <f t="shared" si="10"/>
        <v>560</v>
      </c>
      <c r="M41" s="4">
        <f t="shared" si="11"/>
        <v>570</v>
      </c>
      <c r="N41" s="4">
        <f t="shared" si="12"/>
        <v>590</v>
      </c>
      <c r="O41" s="4">
        <f t="shared" si="13"/>
        <v>600</v>
      </c>
      <c r="P41" s="4">
        <f t="shared" si="14"/>
        <v>600</v>
      </c>
      <c r="Q41" s="4">
        <f t="shared" si="6"/>
        <v>610</v>
      </c>
      <c r="R41" s="4">
        <f t="shared" si="7"/>
        <v>610</v>
      </c>
      <c r="S41" s="4">
        <f t="shared" si="8"/>
        <v>610</v>
      </c>
      <c r="T41" s="1"/>
    </row>
    <row r="42" spans="1:20" ht="16" customHeight="1">
      <c r="A42" s="1"/>
      <c r="B42" s="633"/>
      <c r="C42" s="69" t="s">
        <v>3</v>
      </c>
      <c r="D42" s="3">
        <v>4.0999999999999996</v>
      </c>
      <c r="E42" s="4">
        <f t="shared" si="0"/>
        <v>210</v>
      </c>
      <c r="F42" s="4">
        <f t="shared" si="1"/>
        <v>230</v>
      </c>
      <c r="G42" s="4">
        <f t="shared" si="2"/>
        <v>250</v>
      </c>
      <c r="H42" s="4">
        <f t="shared" si="3"/>
        <v>270</v>
      </c>
      <c r="I42" s="4">
        <f t="shared" si="4"/>
        <v>290</v>
      </c>
      <c r="J42" s="4">
        <f t="shared" si="5"/>
        <v>310</v>
      </c>
      <c r="K42" s="4">
        <f t="shared" si="9"/>
        <v>320</v>
      </c>
      <c r="L42" s="4">
        <f t="shared" si="10"/>
        <v>330</v>
      </c>
      <c r="M42" s="4">
        <f t="shared" si="11"/>
        <v>340</v>
      </c>
      <c r="N42" s="4">
        <f t="shared" si="12"/>
        <v>340</v>
      </c>
      <c r="O42" s="4">
        <f t="shared" si="13"/>
        <v>350</v>
      </c>
      <c r="P42" s="4">
        <f t="shared" si="14"/>
        <v>350</v>
      </c>
      <c r="Q42" s="4">
        <f t="shared" si="6"/>
        <v>360</v>
      </c>
      <c r="R42" s="4">
        <f t="shared" si="7"/>
        <v>360</v>
      </c>
      <c r="S42" s="4">
        <f t="shared" si="8"/>
        <v>360</v>
      </c>
      <c r="T42" s="1"/>
    </row>
    <row r="43" spans="1:20" ht="16" customHeight="1">
      <c r="A43" s="1"/>
      <c r="B43" s="633"/>
      <c r="C43" s="69" t="s">
        <v>4</v>
      </c>
      <c r="D43" s="3">
        <v>8.9</v>
      </c>
      <c r="E43" s="4">
        <f t="shared" si="0"/>
        <v>450</v>
      </c>
      <c r="F43" s="4">
        <f t="shared" si="1"/>
        <v>490</v>
      </c>
      <c r="G43" s="4">
        <f t="shared" si="2"/>
        <v>530</v>
      </c>
      <c r="H43" s="4">
        <f t="shared" si="3"/>
        <v>580</v>
      </c>
      <c r="I43" s="4">
        <f t="shared" si="4"/>
        <v>620</v>
      </c>
      <c r="J43" s="4">
        <f t="shared" si="5"/>
        <v>670</v>
      </c>
      <c r="K43" s="4">
        <f t="shared" si="9"/>
        <v>690</v>
      </c>
      <c r="L43" s="4">
        <f t="shared" si="10"/>
        <v>710</v>
      </c>
      <c r="M43" s="4">
        <f t="shared" si="11"/>
        <v>730</v>
      </c>
      <c r="N43" s="4">
        <f t="shared" si="12"/>
        <v>740</v>
      </c>
      <c r="O43" s="4">
        <f t="shared" si="13"/>
        <v>760</v>
      </c>
      <c r="P43" s="4">
        <f t="shared" si="14"/>
        <v>770</v>
      </c>
      <c r="Q43" s="4">
        <f t="shared" si="6"/>
        <v>770</v>
      </c>
      <c r="R43" s="4">
        <f t="shared" si="7"/>
        <v>780</v>
      </c>
      <c r="S43" s="4">
        <f t="shared" si="8"/>
        <v>780</v>
      </c>
      <c r="T43" s="1"/>
    </row>
    <row r="44" spans="1:20" ht="16" customHeight="1">
      <c r="A44" s="1"/>
      <c r="B44" s="633"/>
      <c r="C44" s="69" t="s">
        <v>5</v>
      </c>
      <c r="D44" s="3">
        <v>6.6</v>
      </c>
      <c r="E44" s="4">
        <f t="shared" si="0"/>
        <v>330</v>
      </c>
      <c r="F44" s="4">
        <f t="shared" si="1"/>
        <v>360</v>
      </c>
      <c r="G44" s="4">
        <f t="shared" si="2"/>
        <v>400</v>
      </c>
      <c r="H44" s="4">
        <f t="shared" si="3"/>
        <v>430</v>
      </c>
      <c r="I44" s="4">
        <f t="shared" si="4"/>
        <v>460</v>
      </c>
      <c r="J44" s="4">
        <f t="shared" si="5"/>
        <v>500</v>
      </c>
      <c r="K44" s="4">
        <f t="shared" si="9"/>
        <v>510</v>
      </c>
      <c r="L44" s="4">
        <f t="shared" si="10"/>
        <v>530</v>
      </c>
      <c r="M44" s="4">
        <f t="shared" si="11"/>
        <v>540</v>
      </c>
      <c r="N44" s="4">
        <f t="shared" si="12"/>
        <v>550</v>
      </c>
      <c r="O44" s="4">
        <f t="shared" si="13"/>
        <v>560</v>
      </c>
      <c r="P44" s="4">
        <f t="shared" si="14"/>
        <v>570</v>
      </c>
      <c r="Q44" s="4">
        <f t="shared" si="6"/>
        <v>570</v>
      </c>
      <c r="R44" s="4">
        <f t="shared" si="7"/>
        <v>580</v>
      </c>
      <c r="S44" s="4">
        <f t="shared" si="8"/>
        <v>580</v>
      </c>
      <c r="T44" s="1"/>
    </row>
    <row r="45" spans="1:20" ht="16" customHeight="1">
      <c r="A45" s="1"/>
      <c r="B45" s="633"/>
      <c r="C45" s="69" t="s">
        <v>6</v>
      </c>
      <c r="D45" s="3">
        <v>7.4</v>
      </c>
      <c r="E45" s="4">
        <f t="shared" si="0"/>
        <v>370</v>
      </c>
      <c r="F45" s="4">
        <f t="shared" si="1"/>
        <v>410</v>
      </c>
      <c r="G45" s="4">
        <f t="shared" si="2"/>
        <v>440</v>
      </c>
      <c r="H45" s="4">
        <f t="shared" si="3"/>
        <v>480</v>
      </c>
      <c r="I45" s="4">
        <f t="shared" si="4"/>
        <v>520</v>
      </c>
      <c r="J45" s="4">
        <f t="shared" si="5"/>
        <v>560</v>
      </c>
      <c r="K45" s="4">
        <f t="shared" si="9"/>
        <v>570</v>
      </c>
      <c r="L45" s="4">
        <f t="shared" si="10"/>
        <v>590</v>
      </c>
      <c r="M45" s="4">
        <f t="shared" si="11"/>
        <v>610</v>
      </c>
      <c r="N45" s="4">
        <f t="shared" si="12"/>
        <v>620</v>
      </c>
      <c r="O45" s="4">
        <f t="shared" si="13"/>
        <v>630</v>
      </c>
      <c r="P45" s="4">
        <f t="shared" si="14"/>
        <v>640</v>
      </c>
      <c r="Q45" s="4">
        <f t="shared" si="6"/>
        <v>640</v>
      </c>
      <c r="R45" s="4">
        <f t="shared" si="7"/>
        <v>650</v>
      </c>
      <c r="S45" s="4">
        <f t="shared" si="8"/>
        <v>650</v>
      </c>
      <c r="T45" s="1"/>
    </row>
    <row r="46" spans="1:20" s="1" customFormat="1" ht="16" customHeight="1">
      <c r="B46" s="849" t="s">
        <v>193</v>
      </c>
      <c r="C46" s="69" t="s">
        <v>137</v>
      </c>
      <c r="D46" s="3">
        <v>2.2999999999999998</v>
      </c>
      <c r="E46" s="4">
        <f t="shared" si="0"/>
        <v>120</v>
      </c>
      <c r="F46" s="4">
        <f t="shared" si="1"/>
        <v>130</v>
      </c>
      <c r="G46" s="4">
        <f t="shared" si="2"/>
        <v>140</v>
      </c>
      <c r="H46" s="4">
        <f t="shared" si="3"/>
        <v>150</v>
      </c>
      <c r="I46" s="4">
        <f t="shared" si="4"/>
        <v>160</v>
      </c>
      <c r="J46" s="4">
        <f t="shared" si="5"/>
        <v>170</v>
      </c>
      <c r="K46" s="4">
        <f t="shared" si="9"/>
        <v>180</v>
      </c>
      <c r="L46" s="4">
        <f t="shared" si="10"/>
        <v>180</v>
      </c>
      <c r="M46" s="4">
        <f t="shared" si="11"/>
        <v>190</v>
      </c>
      <c r="N46" s="4">
        <f t="shared" si="12"/>
        <v>190</v>
      </c>
      <c r="O46" s="4">
        <f t="shared" si="13"/>
        <v>200</v>
      </c>
      <c r="P46" s="4">
        <f t="shared" si="14"/>
        <v>200</v>
      </c>
      <c r="Q46" s="4">
        <f t="shared" si="6"/>
        <v>200</v>
      </c>
      <c r="R46" s="4">
        <f t="shared" si="7"/>
        <v>200</v>
      </c>
      <c r="S46" s="4">
        <f t="shared" si="8"/>
        <v>200</v>
      </c>
    </row>
    <row r="47" spans="1:20" ht="16" customHeight="1">
      <c r="A47" s="1"/>
      <c r="B47" s="633"/>
      <c r="C47" s="69" t="s">
        <v>19</v>
      </c>
      <c r="D47" s="3">
        <v>4</v>
      </c>
      <c r="E47" s="4">
        <f t="shared" si="0"/>
        <v>200</v>
      </c>
      <c r="F47" s="4">
        <f t="shared" si="1"/>
        <v>220</v>
      </c>
      <c r="G47" s="4">
        <f t="shared" si="2"/>
        <v>240</v>
      </c>
      <c r="H47" s="4">
        <f t="shared" si="3"/>
        <v>260</v>
      </c>
      <c r="I47" s="4">
        <f t="shared" si="4"/>
        <v>280</v>
      </c>
      <c r="J47" s="4">
        <f t="shared" si="5"/>
        <v>300</v>
      </c>
      <c r="K47" s="4">
        <f t="shared" si="9"/>
        <v>310</v>
      </c>
      <c r="L47" s="4">
        <f t="shared" si="10"/>
        <v>320</v>
      </c>
      <c r="M47" s="4">
        <f t="shared" si="11"/>
        <v>330</v>
      </c>
      <c r="N47" s="4">
        <f t="shared" si="12"/>
        <v>330</v>
      </c>
      <c r="O47" s="4">
        <f t="shared" si="13"/>
        <v>340</v>
      </c>
      <c r="P47" s="4">
        <f t="shared" si="14"/>
        <v>340</v>
      </c>
      <c r="Q47" s="4">
        <f t="shared" si="6"/>
        <v>350</v>
      </c>
      <c r="R47" s="4">
        <f t="shared" si="7"/>
        <v>350</v>
      </c>
      <c r="S47" s="4">
        <f t="shared" si="8"/>
        <v>350</v>
      </c>
      <c r="T47" s="1"/>
    </row>
    <row r="48" spans="1:20" ht="16" customHeight="1">
      <c r="A48" s="1"/>
      <c r="B48" s="633"/>
      <c r="C48" s="69" t="s">
        <v>20</v>
      </c>
      <c r="D48" s="3">
        <v>6</v>
      </c>
      <c r="E48" s="4">
        <f t="shared" si="0"/>
        <v>300</v>
      </c>
      <c r="F48" s="4">
        <f t="shared" si="1"/>
        <v>330</v>
      </c>
      <c r="G48" s="4">
        <f t="shared" si="2"/>
        <v>360</v>
      </c>
      <c r="H48" s="4">
        <f t="shared" si="3"/>
        <v>390</v>
      </c>
      <c r="I48" s="4">
        <f t="shared" si="4"/>
        <v>420</v>
      </c>
      <c r="J48" s="4">
        <f t="shared" si="5"/>
        <v>450</v>
      </c>
      <c r="K48" s="4">
        <f t="shared" si="9"/>
        <v>470</v>
      </c>
      <c r="L48" s="4">
        <f t="shared" si="10"/>
        <v>480</v>
      </c>
      <c r="M48" s="4">
        <f t="shared" si="11"/>
        <v>490</v>
      </c>
      <c r="N48" s="4">
        <f t="shared" si="12"/>
        <v>500</v>
      </c>
      <c r="O48" s="4">
        <f t="shared" si="13"/>
        <v>510</v>
      </c>
      <c r="P48" s="4">
        <f t="shared" si="14"/>
        <v>520</v>
      </c>
      <c r="Q48" s="4">
        <f t="shared" si="6"/>
        <v>520</v>
      </c>
      <c r="R48" s="4">
        <f t="shared" si="7"/>
        <v>520</v>
      </c>
      <c r="S48" s="4">
        <f t="shared" si="8"/>
        <v>530</v>
      </c>
      <c r="T48" s="1"/>
    </row>
    <row r="49" spans="1:20" s="1" customFormat="1" ht="16" customHeight="1">
      <c r="B49" s="633" t="s">
        <v>194</v>
      </c>
      <c r="C49" s="69" t="s">
        <v>7</v>
      </c>
      <c r="D49" s="3">
        <v>3.1</v>
      </c>
      <c r="E49" s="4">
        <f t="shared" ref="E49:E58" si="15">ROUND($D49*50,-1)</f>
        <v>160</v>
      </c>
      <c r="F49" s="4">
        <f t="shared" ref="F49:F58" si="16">ROUND($D49*55,-1)</f>
        <v>170</v>
      </c>
      <c r="G49" s="4">
        <f t="shared" ref="G49:G58" si="17">ROUND($D49*60,-1)</f>
        <v>190</v>
      </c>
      <c r="H49" s="4">
        <f t="shared" ref="H49:H58" si="18">ROUND($D49*65,-1)</f>
        <v>200</v>
      </c>
      <c r="I49" s="4">
        <f t="shared" ref="I49:I58" si="19">ROUND($D49*70,-1)</f>
        <v>220</v>
      </c>
      <c r="J49" s="4">
        <f t="shared" ref="J49:J58" si="20">ROUND($D49*75,-1)</f>
        <v>230</v>
      </c>
      <c r="K49" s="4">
        <f t="shared" ref="K49:K58" si="21">ROUND($D49*80*0.97,-1)</f>
        <v>240</v>
      </c>
      <c r="L49" s="4">
        <f t="shared" ref="L49:L58" si="22">ROUND($D49*85*0.94,-1)</f>
        <v>250</v>
      </c>
      <c r="M49" s="4">
        <f t="shared" ref="M49:M58" si="23">ROUND($D49*90*0.91,-1)</f>
        <v>250</v>
      </c>
      <c r="N49" s="4">
        <f t="shared" ref="N49:N58" si="24">ROUND($D49*95*0.88,-1)</f>
        <v>260</v>
      </c>
      <c r="O49" s="4">
        <f t="shared" ref="O49:O58" si="25">ROUND($D49*100*0.85,-1)</f>
        <v>260</v>
      </c>
      <c r="P49" s="4">
        <f t="shared" ref="P49:P58" si="26">ROUND($D49*105*0.82,-1)</f>
        <v>270</v>
      </c>
      <c r="Q49" s="4">
        <f t="shared" ref="Q49:Q58" si="27">ROUND($D49*110*0.79,-1)</f>
        <v>270</v>
      </c>
      <c r="R49" s="4">
        <f t="shared" ref="R49:R58" si="28">ROUND($D49*115*0.76,-1)</f>
        <v>270</v>
      </c>
      <c r="S49" s="4">
        <f t="shared" ref="S49:S58" si="29">ROUND($D49*120*0.73,-1)</f>
        <v>270</v>
      </c>
    </row>
    <row r="50" spans="1:20" ht="16" customHeight="1">
      <c r="A50" s="1"/>
      <c r="B50" s="633"/>
      <c r="C50" s="69" t="s">
        <v>8</v>
      </c>
      <c r="D50" s="3">
        <v>5</v>
      </c>
      <c r="E50" s="4">
        <f t="shared" si="15"/>
        <v>250</v>
      </c>
      <c r="F50" s="4">
        <f t="shared" si="16"/>
        <v>280</v>
      </c>
      <c r="G50" s="4">
        <f t="shared" si="17"/>
        <v>300</v>
      </c>
      <c r="H50" s="4">
        <f t="shared" si="18"/>
        <v>330</v>
      </c>
      <c r="I50" s="4">
        <f t="shared" si="19"/>
        <v>350</v>
      </c>
      <c r="J50" s="4">
        <f t="shared" si="20"/>
        <v>380</v>
      </c>
      <c r="K50" s="4">
        <f t="shared" si="21"/>
        <v>390</v>
      </c>
      <c r="L50" s="4">
        <f t="shared" si="22"/>
        <v>400</v>
      </c>
      <c r="M50" s="4">
        <f t="shared" si="23"/>
        <v>410</v>
      </c>
      <c r="N50" s="4">
        <f t="shared" si="24"/>
        <v>420</v>
      </c>
      <c r="O50" s="4">
        <f t="shared" si="25"/>
        <v>430</v>
      </c>
      <c r="P50" s="4">
        <f t="shared" si="26"/>
        <v>430</v>
      </c>
      <c r="Q50" s="4">
        <f t="shared" si="27"/>
        <v>430</v>
      </c>
      <c r="R50" s="4">
        <f t="shared" si="28"/>
        <v>440</v>
      </c>
      <c r="S50" s="4">
        <f t="shared" si="29"/>
        <v>440</v>
      </c>
      <c r="T50" s="1"/>
    </row>
    <row r="51" spans="1:20" ht="16" customHeight="1">
      <c r="A51" s="1"/>
      <c r="B51" s="633"/>
      <c r="C51" s="69" t="s">
        <v>26</v>
      </c>
      <c r="D51" s="3">
        <v>5</v>
      </c>
      <c r="E51" s="4">
        <f t="shared" si="15"/>
        <v>250</v>
      </c>
      <c r="F51" s="4">
        <f t="shared" si="16"/>
        <v>280</v>
      </c>
      <c r="G51" s="4">
        <f t="shared" si="17"/>
        <v>300</v>
      </c>
      <c r="H51" s="4">
        <f t="shared" si="18"/>
        <v>330</v>
      </c>
      <c r="I51" s="4">
        <f t="shared" si="19"/>
        <v>350</v>
      </c>
      <c r="J51" s="4">
        <f t="shared" si="20"/>
        <v>380</v>
      </c>
      <c r="K51" s="4">
        <f t="shared" si="21"/>
        <v>390</v>
      </c>
      <c r="L51" s="4">
        <f t="shared" si="22"/>
        <v>400</v>
      </c>
      <c r="M51" s="4">
        <f t="shared" si="23"/>
        <v>410</v>
      </c>
      <c r="N51" s="4">
        <f t="shared" si="24"/>
        <v>420</v>
      </c>
      <c r="O51" s="4">
        <f t="shared" si="25"/>
        <v>430</v>
      </c>
      <c r="P51" s="4">
        <f t="shared" si="26"/>
        <v>430</v>
      </c>
      <c r="Q51" s="4">
        <f t="shared" si="27"/>
        <v>430</v>
      </c>
      <c r="R51" s="4">
        <f t="shared" si="28"/>
        <v>440</v>
      </c>
      <c r="S51" s="4">
        <f t="shared" si="29"/>
        <v>440</v>
      </c>
      <c r="T51" s="1"/>
    </row>
    <row r="52" spans="1:20" ht="16" customHeight="1">
      <c r="A52" s="1"/>
      <c r="B52" s="633"/>
      <c r="C52" s="69" t="s">
        <v>27</v>
      </c>
      <c r="D52" s="3">
        <v>3</v>
      </c>
      <c r="E52" s="4">
        <f t="shared" si="15"/>
        <v>150</v>
      </c>
      <c r="F52" s="4">
        <f t="shared" si="16"/>
        <v>170</v>
      </c>
      <c r="G52" s="4">
        <f t="shared" si="17"/>
        <v>180</v>
      </c>
      <c r="H52" s="4">
        <f t="shared" si="18"/>
        <v>200</v>
      </c>
      <c r="I52" s="4">
        <f t="shared" si="19"/>
        <v>210</v>
      </c>
      <c r="J52" s="4">
        <f t="shared" si="20"/>
        <v>230</v>
      </c>
      <c r="K52" s="4">
        <f t="shared" si="21"/>
        <v>230</v>
      </c>
      <c r="L52" s="4">
        <f t="shared" si="22"/>
        <v>240</v>
      </c>
      <c r="M52" s="4">
        <f t="shared" si="23"/>
        <v>250</v>
      </c>
      <c r="N52" s="4">
        <f t="shared" si="24"/>
        <v>250</v>
      </c>
      <c r="O52" s="4">
        <f t="shared" si="25"/>
        <v>260</v>
      </c>
      <c r="P52" s="4">
        <f t="shared" si="26"/>
        <v>260</v>
      </c>
      <c r="Q52" s="4">
        <f t="shared" si="27"/>
        <v>260</v>
      </c>
      <c r="R52" s="4">
        <f t="shared" si="28"/>
        <v>260</v>
      </c>
      <c r="S52" s="4">
        <f t="shared" si="29"/>
        <v>260</v>
      </c>
      <c r="T52" s="1"/>
    </row>
    <row r="53" spans="1:20" ht="16" customHeight="1">
      <c r="A53" s="1"/>
      <c r="B53" s="633"/>
      <c r="C53" s="69" t="s">
        <v>9</v>
      </c>
      <c r="D53" s="3">
        <v>5</v>
      </c>
      <c r="E53" s="4">
        <f t="shared" si="15"/>
        <v>250</v>
      </c>
      <c r="F53" s="4">
        <f t="shared" si="16"/>
        <v>280</v>
      </c>
      <c r="G53" s="4">
        <f t="shared" si="17"/>
        <v>300</v>
      </c>
      <c r="H53" s="4">
        <f t="shared" si="18"/>
        <v>330</v>
      </c>
      <c r="I53" s="4">
        <f t="shared" si="19"/>
        <v>350</v>
      </c>
      <c r="J53" s="4">
        <f t="shared" si="20"/>
        <v>380</v>
      </c>
      <c r="K53" s="4">
        <f t="shared" si="21"/>
        <v>390</v>
      </c>
      <c r="L53" s="4">
        <f t="shared" si="22"/>
        <v>400</v>
      </c>
      <c r="M53" s="4">
        <f t="shared" si="23"/>
        <v>410</v>
      </c>
      <c r="N53" s="4">
        <f t="shared" si="24"/>
        <v>420</v>
      </c>
      <c r="O53" s="4">
        <f t="shared" si="25"/>
        <v>430</v>
      </c>
      <c r="P53" s="4">
        <f t="shared" si="26"/>
        <v>430</v>
      </c>
      <c r="Q53" s="4">
        <f t="shared" si="27"/>
        <v>430</v>
      </c>
      <c r="R53" s="4">
        <f t="shared" si="28"/>
        <v>440</v>
      </c>
      <c r="S53" s="4">
        <f t="shared" si="29"/>
        <v>440</v>
      </c>
      <c r="T53" s="1"/>
    </row>
    <row r="54" spans="1:20" s="1" customFormat="1" ht="16" customHeight="1">
      <c r="B54" s="849" t="s">
        <v>147</v>
      </c>
      <c r="C54" s="69" t="s">
        <v>23</v>
      </c>
      <c r="D54" s="3">
        <v>8</v>
      </c>
      <c r="E54" s="4">
        <f t="shared" si="15"/>
        <v>400</v>
      </c>
      <c r="F54" s="4">
        <f t="shared" si="16"/>
        <v>440</v>
      </c>
      <c r="G54" s="4">
        <f t="shared" si="17"/>
        <v>480</v>
      </c>
      <c r="H54" s="4">
        <f t="shared" si="18"/>
        <v>520</v>
      </c>
      <c r="I54" s="4">
        <f t="shared" si="19"/>
        <v>560</v>
      </c>
      <c r="J54" s="4">
        <f t="shared" si="20"/>
        <v>600</v>
      </c>
      <c r="K54" s="4">
        <f t="shared" si="21"/>
        <v>620</v>
      </c>
      <c r="L54" s="4">
        <f t="shared" si="22"/>
        <v>640</v>
      </c>
      <c r="M54" s="4">
        <f t="shared" si="23"/>
        <v>660</v>
      </c>
      <c r="N54" s="4">
        <f t="shared" si="24"/>
        <v>670</v>
      </c>
      <c r="O54" s="4">
        <f t="shared" si="25"/>
        <v>680</v>
      </c>
      <c r="P54" s="4">
        <f t="shared" si="26"/>
        <v>690</v>
      </c>
      <c r="Q54" s="4">
        <f t="shared" si="27"/>
        <v>700</v>
      </c>
      <c r="R54" s="4">
        <f t="shared" si="28"/>
        <v>700</v>
      </c>
      <c r="S54" s="4">
        <f t="shared" si="29"/>
        <v>700</v>
      </c>
    </row>
    <row r="55" spans="1:20" ht="16" customHeight="1">
      <c r="A55" s="1"/>
      <c r="B55" s="633"/>
      <c r="C55" s="69" t="s">
        <v>24</v>
      </c>
      <c r="D55" s="3">
        <v>3.1</v>
      </c>
      <c r="E55" s="4">
        <f t="shared" si="15"/>
        <v>160</v>
      </c>
      <c r="F55" s="4">
        <f t="shared" si="16"/>
        <v>170</v>
      </c>
      <c r="G55" s="4">
        <f t="shared" si="17"/>
        <v>190</v>
      </c>
      <c r="H55" s="4">
        <f t="shared" si="18"/>
        <v>200</v>
      </c>
      <c r="I55" s="4">
        <f t="shared" si="19"/>
        <v>220</v>
      </c>
      <c r="J55" s="4">
        <f t="shared" si="20"/>
        <v>230</v>
      </c>
      <c r="K55" s="4">
        <f t="shared" si="21"/>
        <v>240</v>
      </c>
      <c r="L55" s="4">
        <f t="shared" si="22"/>
        <v>250</v>
      </c>
      <c r="M55" s="4">
        <f t="shared" si="23"/>
        <v>250</v>
      </c>
      <c r="N55" s="4">
        <f t="shared" si="24"/>
        <v>260</v>
      </c>
      <c r="O55" s="4">
        <f t="shared" si="25"/>
        <v>260</v>
      </c>
      <c r="P55" s="4">
        <f t="shared" si="26"/>
        <v>270</v>
      </c>
      <c r="Q55" s="4">
        <f t="shared" si="27"/>
        <v>270</v>
      </c>
      <c r="R55" s="4">
        <f t="shared" si="28"/>
        <v>270</v>
      </c>
      <c r="S55" s="4">
        <f t="shared" si="29"/>
        <v>270</v>
      </c>
      <c r="T55" s="1"/>
    </row>
    <row r="56" spans="1:20" s="1" customFormat="1" ht="16" customHeight="1">
      <c r="B56" s="633" t="s">
        <v>195</v>
      </c>
      <c r="C56" s="70" t="s">
        <v>16</v>
      </c>
      <c r="D56" s="3">
        <v>7</v>
      </c>
      <c r="E56" s="4">
        <f t="shared" si="15"/>
        <v>350</v>
      </c>
      <c r="F56" s="4">
        <f t="shared" si="16"/>
        <v>390</v>
      </c>
      <c r="G56" s="4">
        <f t="shared" si="17"/>
        <v>420</v>
      </c>
      <c r="H56" s="4">
        <f t="shared" si="18"/>
        <v>460</v>
      </c>
      <c r="I56" s="4">
        <f t="shared" si="19"/>
        <v>490</v>
      </c>
      <c r="J56" s="4">
        <f t="shared" si="20"/>
        <v>530</v>
      </c>
      <c r="K56" s="4">
        <f t="shared" si="21"/>
        <v>540</v>
      </c>
      <c r="L56" s="4">
        <f t="shared" si="22"/>
        <v>560</v>
      </c>
      <c r="M56" s="4">
        <f t="shared" si="23"/>
        <v>570</v>
      </c>
      <c r="N56" s="4">
        <f t="shared" si="24"/>
        <v>590</v>
      </c>
      <c r="O56" s="4">
        <f t="shared" si="25"/>
        <v>600</v>
      </c>
      <c r="P56" s="4">
        <f t="shared" si="26"/>
        <v>600</v>
      </c>
      <c r="Q56" s="4">
        <f t="shared" si="27"/>
        <v>610</v>
      </c>
      <c r="R56" s="4">
        <f t="shared" si="28"/>
        <v>610</v>
      </c>
      <c r="S56" s="4">
        <f t="shared" si="29"/>
        <v>610</v>
      </c>
    </row>
    <row r="57" spans="1:20" ht="16" customHeight="1">
      <c r="A57" s="1"/>
      <c r="B57" s="633"/>
      <c r="C57" s="70" t="s">
        <v>17</v>
      </c>
      <c r="D57" s="3">
        <v>8.5</v>
      </c>
      <c r="E57" s="4">
        <f t="shared" si="15"/>
        <v>430</v>
      </c>
      <c r="F57" s="4">
        <f t="shared" si="16"/>
        <v>470</v>
      </c>
      <c r="G57" s="4">
        <f t="shared" si="17"/>
        <v>510</v>
      </c>
      <c r="H57" s="4">
        <f t="shared" si="18"/>
        <v>550</v>
      </c>
      <c r="I57" s="4">
        <f t="shared" si="19"/>
        <v>600</v>
      </c>
      <c r="J57" s="4">
        <f t="shared" si="20"/>
        <v>640</v>
      </c>
      <c r="K57" s="4">
        <f t="shared" si="21"/>
        <v>660</v>
      </c>
      <c r="L57" s="4">
        <f t="shared" si="22"/>
        <v>680</v>
      </c>
      <c r="M57" s="4">
        <f t="shared" si="23"/>
        <v>700</v>
      </c>
      <c r="N57" s="4">
        <f t="shared" si="24"/>
        <v>710</v>
      </c>
      <c r="O57" s="4">
        <f t="shared" si="25"/>
        <v>720</v>
      </c>
      <c r="P57" s="4">
        <f t="shared" si="26"/>
        <v>730</v>
      </c>
      <c r="Q57" s="4">
        <f t="shared" si="27"/>
        <v>740</v>
      </c>
      <c r="R57" s="4">
        <f t="shared" si="28"/>
        <v>740</v>
      </c>
      <c r="S57" s="4">
        <f t="shared" si="29"/>
        <v>740</v>
      </c>
      <c r="T57" s="1"/>
    </row>
    <row r="58" spans="1:20" ht="16" customHeight="1">
      <c r="A58" s="1"/>
      <c r="B58" s="633"/>
      <c r="C58" s="70" t="s">
        <v>18</v>
      </c>
      <c r="D58" s="3">
        <v>12</v>
      </c>
      <c r="E58" s="4">
        <f t="shared" si="15"/>
        <v>600</v>
      </c>
      <c r="F58" s="4">
        <f t="shared" si="16"/>
        <v>660</v>
      </c>
      <c r="G58" s="4">
        <f t="shared" si="17"/>
        <v>720</v>
      </c>
      <c r="H58" s="4">
        <f t="shared" si="18"/>
        <v>780</v>
      </c>
      <c r="I58" s="4">
        <f t="shared" si="19"/>
        <v>840</v>
      </c>
      <c r="J58" s="4">
        <f t="shared" si="20"/>
        <v>900</v>
      </c>
      <c r="K58" s="4">
        <f t="shared" si="21"/>
        <v>930</v>
      </c>
      <c r="L58" s="4">
        <f t="shared" si="22"/>
        <v>960</v>
      </c>
      <c r="M58" s="4">
        <f t="shared" si="23"/>
        <v>980</v>
      </c>
      <c r="N58" s="4">
        <f t="shared" si="24"/>
        <v>1000</v>
      </c>
      <c r="O58" s="4">
        <f t="shared" si="25"/>
        <v>1020</v>
      </c>
      <c r="P58" s="4">
        <f t="shared" si="26"/>
        <v>1030</v>
      </c>
      <c r="Q58" s="4">
        <f t="shared" si="27"/>
        <v>1040</v>
      </c>
      <c r="R58" s="4">
        <f t="shared" si="28"/>
        <v>1050</v>
      </c>
      <c r="S58" s="4">
        <f t="shared" si="29"/>
        <v>1050</v>
      </c>
      <c r="T58" s="1"/>
    </row>
    <row r="59" spans="1:20" s="1" customFormat="1" ht="16" customHeight="1">
      <c r="B59" s="633" t="s">
        <v>21</v>
      </c>
      <c r="C59" s="69" t="s">
        <v>22</v>
      </c>
      <c r="D59" s="3">
        <v>5.5</v>
      </c>
      <c r="E59" s="4">
        <f t="shared" si="0"/>
        <v>280</v>
      </c>
      <c r="F59" s="4">
        <f t="shared" si="1"/>
        <v>300</v>
      </c>
      <c r="G59" s="4">
        <f t="shared" si="2"/>
        <v>330</v>
      </c>
      <c r="H59" s="4">
        <f t="shared" si="3"/>
        <v>360</v>
      </c>
      <c r="I59" s="4">
        <f t="shared" si="4"/>
        <v>390</v>
      </c>
      <c r="J59" s="4">
        <f t="shared" si="5"/>
        <v>410</v>
      </c>
      <c r="K59" s="4">
        <f t="shared" si="9"/>
        <v>430</v>
      </c>
      <c r="L59" s="4">
        <f t="shared" si="10"/>
        <v>440</v>
      </c>
      <c r="M59" s="4">
        <f t="shared" si="11"/>
        <v>450</v>
      </c>
      <c r="N59" s="4">
        <f t="shared" si="12"/>
        <v>460</v>
      </c>
      <c r="O59" s="4">
        <f t="shared" si="13"/>
        <v>470</v>
      </c>
      <c r="P59" s="4">
        <f t="shared" si="14"/>
        <v>470</v>
      </c>
      <c r="Q59" s="4">
        <f t="shared" si="6"/>
        <v>480</v>
      </c>
      <c r="R59" s="4">
        <f t="shared" si="7"/>
        <v>480</v>
      </c>
      <c r="S59" s="4">
        <f t="shared" si="8"/>
        <v>480</v>
      </c>
    </row>
    <row r="60" spans="1:20" ht="16" customHeight="1">
      <c r="A60" s="1"/>
      <c r="B60" s="633"/>
      <c r="C60" s="69" t="s">
        <v>196</v>
      </c>
      <c r="D60" s="3">
        <v>7.8</v>
      </c>
      <c r="E60" s="4">
        <f t="shared" si="0"/>
        <v>390</v>
      </c>
      <c r="F60" s="4">
        <f t="shared" si="1"/>
        <v>430</v>
      </c>
      <c r="G60" s="4">
        <f t="shared" si="2"/>
        <v>470</v>
      </c>
      <c r="H60" s="4">
        <f t="shared" si="3"/>
        <v>510</v>
      </c>
      <c r="I60" s="4">
        <f t="shared" si="4"/>
        <v>550</v>
      </c>
      <c r="J60" s="4">
        <f t="shared" si="5"/>
        <v>590</v>
      </c>
      <c r="K60" s="4">
        <f t="shared" si="9"/>
        <v>610</v>
      </c>
      <c r="L60" s="4">
        <f t="shared" si="10"/>
        <v>620</v>
      </c>
      <c r="M60" s="4">
        <f t="shared" si="11"/>
        <v>640</v>
      </c>
      <c r="N60" s="4">
        <f t="shared" si="12"/>
        <v>650</v>
      </c>
      <c r="O60" s="4">
        <f t="shared" si="13"/>
        <v>660</v>
      </c>
      <c r="P60" s="4">
        <f t="shared" si="14"/>
        <v>670</v>
      </c>
      <c r="Q60" s="4">
        <f t="shared" si="6"/>
        <v>680</v>
      </c>
      <c r="R60" s="4">
        <f t="shared" si="7"/>
        <v>680</v>
      </c>
      <c r="S60" s="4">
        <f t="shared" si="8"/>
        <v>680</v>
      </c>
      <c r="T60" s="1"/>
    </row>
    <row r="61" spans="1:20" s="1" customFormat="1" ht="16" customHeight="1">
      <c r="B61" s="633" t="s">
        <v>25</v>
      </c>
      <c r="C61" s="72" t="s">
        <v>148</v>
      </c>
      <c r="D61" s="3">
        <v>8.8000000000000007</v>
      </c>
      <c r="E61" s="4">
        <f t="shared" si="0"/>
        <v>440</v>
      </c>
      <c r="F61" s="4">
        <f t="shared" si="1"/>
        <v>480</v>
      </c>
      <c r="G61" s="4">
        <f t="shared" si="2"/>
        <v>530</v>
      </c>
      <c r="H61" s="4">
        <f t="shared" si="3"/>
        <v>570</v>
      </c>
      <c r="I61" s="4">
        <f t="shared" si="4"/>
        <v>620</v>
      </c>
      <c r="J61" s="4">
        <f t="shared" si="5"/>
        <v>660</v>
      </c>
      <c r="K61" s="4">
        <f t="shared" si="9"/>
        <v>680</v>
      </c>
      <c r="L61" s="4">
        <f t="shared" si="10"/>
        <v>700</v>
      </c>
      <c r="M61" s="4">
        <f t="shared" si="11"/>
        <v>720</v>
      </c>
      <c r="N61" s="4">
        <f t="shared" si="12"/>
        <v>740</v>
      </c>
      <c r="O61" s="4">
        <f t="shared" si="13"/>
        <v>750</v>
      </c>
      <c r="P61" s="4">
        <f t="shared" si="14"/>
        <v>760</v>
      </c>
      <c r="Q61" s="4">
        <f t="shared" si="6"/>
        <v>760</v>
      </c>
      <c r="R61" s="4">
        <f t="shared" si="7"/>
        <v>770</v>
      </c>
      <c r="S61" s="4">
        <f t="shared" si="8"/>
        <v>770</v>
      </c>
    </row>
    <row r="62" spans="1:20" ht="16" customHeight="1">
      <c r="A62" s="1"/>
      <c r="B62" s="633"/>
      <c r="C62" s="72" t="s">
        <v>149</v>
      </c>
      <c r="D62" s="3">
        <v>11.8</v>
      </c>
      <c r="E62" s="4">
        <f t="shared" si="0"/>
        <v>590</v>
      </c>
      <c r="F62" s="4">
        <f t="shared" si="1"/>
        <v>650</v>
      </c>
      <c r="G62" s="4">
        <f t="shared" si="2"/>
        <v>710</v>
      </c>
      <c r="H62" s="4">
        <f t="shared" si="3"/>
        <v>770</v>
      </c>
      <c r="I62" s="4">
        <f t="shared" si="4"/>
        <v>830</v>
      </c>
      <c r="J62" s="4">
        <f t="shared" si="5"/>
        <v>890</v>
      </c>
      <c r="K62" s="4">
        <f t="shared" si="9"/>
        <v>920</v>
      </c>
      <c r="L62" s="4">
        <f t="shared" si="10"/>
        <v>940</v>
      </c>
      <c r="M62" s="4">
        <f t="shared" si="11"/>
        <v>970</v>
      </c>
      <c r="N62" s="4">
        <f t="shared" si="12"/>
        <v>990</v>
      </c>
      <c r="O62" s="4">
        <f t="shared" si="13"/>
        <v>1000</v>
      </c>
      <c r="P62" s="4">
        <f t="shared" si="14"/>
        <v>1020</v>
      </c>
      <c r="Q62" s="4">
        <f t="shared" si="6"/>
        <v>1030</v>
      </c>
      <c r="R62" s="4">
        <f t="shared" si="7"/>
        <v>1030</v>
      </c>
      <c r="S62" s="4">
        <f t="shared" si="8"/>
        <v>1030</v>
      </c>
      <c r="T62" s="1"/>
    </row>
    <row r="63" spans="1:20" ht="16" customHeight="1">
      <c r="A63" s="1"/>
      <c r="B63" s="633"/>
      <c r="C63" s="72" t="s">
        <v>150</v>
      </c>
      <c r="D63" s="3">
        <v>12.3</v>
      </c>
      <c r="E63" s="4">
        <f t="shared" si="0"/>
        <v>620</v>
      </c>
      <c r="F63" s="4">
        <f t="shared" si="1"/>
        <v>680</v>
      </c>
      <c r="G63" s="4">
        <f t="shared" si="2"/>
        <v>740</v>
      </c>
      <c r="H63" s="4">
        <f t="shared" si="3"/>
        <v>800</v>
      </c>
      <c r="I63" s="4">
        <f t="shared" si="4"/>
        <v>860</v>
      </c>
      <c r="J63" s="4">
        <f t="shared" si="5"/>
        <v>920</v>
      </c>
      <c r="K63" s="4">
        <f t="shared" si="9"/>
        <v>950</v>
      </c>
      <c r="L63" s="4">
        <f t="shared" si="10"/>
        <v>980</v>
      </c>
      <c r="M63" s="4">
        <f t="shared" si="11"/>
        <v>1010</v>
      </c>
      <c r="N63" s="4">
        <f t="shared" si="12"/>
        <v>1030</v>
      </c>
      <c r="O63" s="4">
        <f t="shared" si="13"/>
        <v>1050</v>
      </c>
      <c r="P63" s="4">
        <f t="shared" si="14"/>
        <v>1060</v>
      </c>
      <c r="Q63" s="4">
        <f t="shared" si="6"/>
        <v>1070</v>
      </c>
      <c r="R63" s="4">
        <f t="shared" si="7"/>
        <v>1080</v>
      </c>
      <c r="S63" s="4">
        <f t="shared" si="8"/>
        <v>1080</v>
      </c>
      <c r="T63" s="1"/>
    </row>
    <row r="64" spans="1:20" ht="16" customHeight="1">
      <c r="A64" s="1"/>
      <c r="B64" s="855" t="s">
        <v>197</v>
      </c>
      <c r="C64" s="855"/>
      <c r="D64" s="855"/>
      <c r="E64" s="855"/>
      <c r="F64" s="855"/>
      <c r="G64" s="855"/>
      <c r="H64" s="855"/>
      <c r="I64" s="855"/>
      <c r="J64" s="855"/>
      <c r="K64" s="855"/>
      <c r="L64" s="855"/>
      <c r="M64" s="855"/>
      <c r="N64" s="855"/>
      <c r="O64" s="855"/>
      <c r="P64" s="855"/>
      <c r="Q64" s="855"/>
      <c r="R64" s="855"/>
      <c r="S64" s="855"/>
      <c r="T64" s="1"/>
    </row>
    <row r="65" spans="1:20" ht="16" customHeight="1">
      <c r="A65" s="1"/>
      <c r="B65" s="856"/>
      <c r="C65" s="856"/>
      <c r="D65" s="856"/>
      <c r="E65" s="856"/>
      <c r="F65" s="856"/>
      <c r="G65" s="856"/>
      <c r="H65" s="856"/>
      <c r="I65" s="856"/>
      <c r="J65" s="856"/>
      <c r="K65" s="856"/>
      <c r="L65" s="856"/>
      <c r="M65" s="856"/>
      <c r="N65" s="856"/>
      <c r="O65" s="856"/>
      <c r="P65" s="856"/>
      <c r="Q65" s="856"/>
      <c r="R65" s="856"/>
      <c r="S65" s="856"/>
      <c r="T65" s="1"/>
    </row>
    <row r="66" spans="1:20" ht="16" customHeight="1">
      <c r="A66" s="1"/>
      <c r="B66" s="856"/>
      <c r="C66" s="856"/>
      <c r="D66" s="856"/>
      <c r="E66" s="856"/>
      <c r="F66" s="856"/>
      <c r="G66" s="856"/>
      <c r="H66" s="856"/>
      <c r="I66" s="856"/>
      <c r="J66" s="856"/>
      <c r="K66" s="856"/>
      <c r="L66" s="856"/>
      <c r="M66" s="856"/>
      <c r="N66" s="856"/>
      <c r="O66" s="856"/>
      <c r="P66" s="856"/>
      <c r="Q66" s="856"/>
      <c r="R66" s="856"/>
      <c r="S66" s="856"/>
      <c r="T66" s="1"/>
    </row>
    <row r="67" spans="1:20" ht="16" customHeight="1">
      <c r="A67" s="1"/>
      <c r="B67" s="856"/>
      <c r="C67" s="856"/>
      <c r="D67" s="856"/>
      <c r="E67" s="856"/>
      <c r="F67" s="856"/>
      <c r="G67" s="856"/>
      <c r="H67" s="856"/>
      <c r="I67" s="856"/>
      <c r="J67" s="856"/>
      <c r="K67" s="856"/>
      <c r="L67" s="856"/>
      <c r="M67" s="856"/>
      <c r="N67" s="856"/>
      <c r="O67" s="856"/>
      <c r="P67" s="856"/>
      <c r="Q67" s="856"/>
      <c r="R67" s="856"/>
      <c r="S67" s="856"/>
      <c r="T67" s="1"/>
    </row>
  </sheetData>
  <mergeCells count="41">
    <mergeCell ref="B64:S67"/>
    <mergeCell ref="B49:B53"/>
    <mergeCell ref="B54:B55"/>
    <mergeCell ref="B56:B58"/>
    <mergeCell ref="B59:B60"/>
    <mergeCell ref="B61:B63"/>
    <mergeCell ref="B24:B31"/>
    <mergeCell ref="B32:B36"/>
    <mergeCell ref="B37:B39"/>
    <mergeCell ref="B40:B45"/>
    <mergeCell ref="B46:B48"/>
    <mergeCell ref="B10:B11"/>
    <mergeCell ref="B12:B13"/>
    <mergeCell ref="B14:B23"/>
    <mergeCell ref="M8:M9"/>
    <mergeCell ref="N8:N9"/>
    <mergeCell ref="B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R8:R9"/>
    <mergeCell ref="S8:S9"/>
    <mergeCell ref="B2:S3"/>
    <mergeCell ref="B4:D4"/>
    <mergeCell ref="B5:D5"/>
    <mergeCell ref="B6:D7"/>
    <mergeCell ref="E4:S4"/>
    <mergeCell ref="E6:G6"/>
    <mergeCell ref="E7:G7"/>
    <mergeCell ref="E5:S5"/>
    <mergeCell ref="H6:S6"/>
    <mergeCell ref="H7:S7"/>
    <mergeCell ref="O8:O9"/>
    <mergeCell ref="P8:P9"/>
    <mergeCell ref="Q8:Q9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8B7E-74EE-427F-B0FF-27AE682FBC05}">
  <dimension ref="B2:L129"/>
  <sheetViews>
    <sheetView topLeftCell="A82" zoomScale="140" zoomScaleNormal="140" workbookViewId="0">
      <selection activeCell="C104" sqref="C104:D111"/>
    </sheetView>
  </sheetViews>
  <sheetFormatPr baseColWidth="10" defaultColWidth="9.1640625" defaultRowHeight="17.25" customHeight="1"/>
  <cols>
    <col min="1" max="1" width="2.83203125" style="73" customWidth="1"/>
    <col min="2" max="2" width="9.1640625" style="6"/>
    <col min="3" max="3" width="17.83203125" style="6" customWidth="1"/>
    <col min="4" max="5" width="10.6640625" style="77" customWidth="1"/>
    <col min="6" max="6" width="27.1640625" style="76" customWidth="1"/>
    <col min="7" max="16384" width="9.1640625" style="73"/>
  </cols>
  <sheetData>
    <row r="2" spans="2:6" ht="17.25" customHeight="1">
      <c r="B2" s="859" t="s">
        <v>347</v>
      </c>
      <c r="C2" s="859"/>
      <c r="D2" s="859"/>
      <c r="E2" s="859"/>
    </row>
    <row r="3" spans="2:6" ht="17.25" customHeight="1">
      <c r="B3" s="859"/>
      <c r="C3" s="859"/>
      <c r="D3" s="859"/>
      <c r="E3" s="859"/>
    </row>
    <row r="4" spans="2:6" ht="17.25" customHeight="1">
      <c r="B4" s="85" t="s">
        <v>349</v>
      </c>
      <c r="C4" s="85" t="s">
        <v>350</v>
      </c>
      <c r="D4" s="86" t="s">
        <v>235</v>
      </c>
      <c r="E4" s="86" t="s">
        <v>331</v>
      </c>
      <c r="F4" s="78" t="s">
        <v>268</v>
      </c>
    </row>
    <row r="5" spans="2:6" ht="17.25" customHeight="1">
      <c r="B5" s="877" t="s">
        <v>259</v>
      </c>
      <c r="C5" s="87" t="s">
        <v>373</v>
      </c>
      <c r="D5" s="88">
        <v>0.75</v>
      </c>
      <c r="E5" s="88" t="s">
        <v>332</v>
      </c>
      <c r="F5" s="76" t="s">
        <v>236</v>
      </c>
    </row>
    <row r="6" spans="2:6" ht="17.25" customHeight="1">
      <c r="B6" s="877"/>
      <c r="C6" s="87" t="s">
        <v>269</v>
      </c>
      <c r="D6" s="88">
        <v>0.25</v>
      </c>
      <c r="E6" s="88" t="s">
        <v>332</v>
      </c>
      <c r="F6" s="76" t="s">
        <v>326</v>
      </c>
    </row>
    <row r="7" spans="2:6" ht="17.25" customHeight="1">
      <c r="B7" s="877"/>
      <c r="C7" s="87" t="s">
        <v>270</v>
      </c>
      <c r="D7" s="88">
        <v>0.3</v>
      </c>
      <c r="E7" s="88" t="s">
        <v>332</v>
      </c>
      <c r="F7" s="76" t="s">
        <v>327</v>
      </c>
    </row>
    <row r="8" spans="2:6" ht="17.25" customHeight="1">
      <c r="B8" s="877"/>
      <c r="C8" s="87" t="s">
        <v>359</v>
      </c>
      <c r="D8" s="88">
        <v>0.35</v>
      </c>
      <c r="E8" s="88" t="s">
        <v>332</v>
      </c>
      <c r="F8" s="76" t="s">
        <v>327</v>
      </c>
    </row>
    <row r="9" spans="2:6" ht="17.25" customHeight="1">
      <c r="B9" s="877"/>
      <c r="C9" s="87" t="s">
        <v>271</v>
      </c>
      <c r="D9" s="88">
        <v>0.1</v>
      </c>
      <c r="E9" s="88" t="s">
        <v>332</v>
      </c>
      <c r="F9" s="76" t="s">
        <v>264</v>
      </c>
    </row>
    <row r="10" spans="2:6" ht="17.25" customHeight="1">
      <c r="B10" s="877"/>
      <c r="C10" s="87" t="s">
        <v>272</v>
      </c>
      <c r="D10" s="88">
        <v>0.13</v>
      </c>
      <c r="E10" s="88" t="s">
        <v>332</v>
      </c>
      <c r="F10" s="76" t="s">
        <v>265</v>
      </c>
    </row>
    <row r="11" spans="2:6" ht="17.25" customHeight="1">
      <c r="B11" s="877"/>
      <c r="C11" s="87" t="s">
        <v>273</v>
      </c>
      <c r="D11" s="88">
        <v>0.33</v>
      </c>
      <c r="E11" s="88" t="s">
        <v>332</v>
      </c>
      <c r="F11" s="76" t="s">
        <v>338</v>
      </c>
    </row>
    <row r="12" spans="2:6" ht="17.25" customHeight="1">
      <c r="B12" s="877"/>
      <c r="C12" s="87" t="s">
        <v>274</v>
      </c>
      <c r="D12" s="88">
        <v>0.75</v>
      </c>
      <c r="E12" s="88" t="s">
        <v>332</v>
      </c>
      <c r="F12" s="76" t="s">
        <v>237</v>
      </c>
    </row>
    <row r="13" spans="2:6" ht="17.25" customHeight="1">
      <c r="B13" s="877"/>
      <c r="C13" s="87" t="s">
        <v>275</v>
      </c>
      <c r="D13" s="88">
        <v>0.2</v>
      </c>
      <c r="E13" s="88" t="s">
        <v>332</v>
      </c>
      <c r="F13" s="76" t="s">
        <v>266</v>
      </c>
    </row>
    <row r="14" spans="2:6" ht="17.25" customHeight="1">
      <c r="B14" s="877"/>
      <c r="C14" s="87" t="s">
        <v>391</v>
      </c>
      <c r="D14" s="88">
        <v>0.5</v>
      </c>
      <c r="E14" s="88" t="s">
        <v>332</v>
      </c>
      <c r="F14" s="76" t="s">
        <v>267</v>
      </c>
    </row>
    <row r="15" spans="2:6" ht="17.25" customHeight="1">
      <c r="B15" s="877" t="s">
        <v>260</v>
      </c>
      <c r="C15" s="87" t="s">
        <v>255</v>
      </c>
      <c r="D15" s="88">
        <v>0.5</v>
      </c>
      <c r="E15" s="88" t="s">
        <v>332</v>
      </c>
      <c r="F15" s="76" t="s">
        <v>336</v>
      </c>
    </row>
    <row r="16" spans="2:6" ht="17.25" customHeight="1">
      <c r="B16" s="877"/>
      <c r="C16" s="87" t="s">
        <v>328</v>
      </c>
      <c r="D16" s="88">
        <v>0.5</v>
      </c>
      <c r="E16" s="88" t="s">
        <v>332</v>
      </c>
    </row>
    <row r="17" spans="2:6" ht="17.25" customHeight="1">
      <c r="B17" s="877"/>
      <c r="C17" s="87" t="s">
        <v>276</v>
      </c>
      <c r="D17" s="88">
        <v>0.75</v>
      </c>
      <c r="E17" s="88" t="s">
        <v>333</v>
      </c>
      <c r="F17" s="76" t="s">
        <v>335</v>
      </c>
    </row>
    <row r="18" spans="2:6" ht="17.25" customHeight="1">
      <c r="B18" s="877"/>
      <c r="C18" s="87" t="s">
        <v>277</v>
      </c>
      <c r="D18" s="88">
        <v>0.75</v>
      </c>
      <c r="E18" s="88" t="s">
        <v>334</v>
      </c>
      <c r="F18" s="76" t="s">
        <v>337</v>
      </c>
    </row>
    <row r="19" spans="2:6" ht="17.25" customHeight="1">
      <c r="B19" s="877"/>
      <c r="C19" s="87" t="s">
        <v>278</v>
      </c>
      <c r="D19" s="88">
        <v>0.6</v>
      </c>
      <c r="E19" s="88" t="s">
        <v>332</v>
      </c>
      <c r="F19" s="76" t="s">
        <v>339</v>
      </c>
    </row>
    <row r="20" spans="2:6" ht="17.25" customHeight="1">
      <c r="B20" s="877"/>
      <c r="C20" s="87" t="s">
        <v>279</v>
      </c>
      <c r="D20" s="88">
        <v>0.3</v>
      </c>
      <c r="E20" s="88" t="s">
        <v>332</v>
      </c>
    </row>
    <row r="21" spans="2:6" ht="17.25" customHeight="1">
      <c r="B21" s="877"/>
      <c r="C21" s="87" t="s">
        <v>280</v>
      </c>
      <c r="D21" s="88">
        <v>0.3</v>
      </c>
      <c r="E21" s="88" t="s">
        <v>332</v>
      </c>
      <c r="F21" s="76" t="s">
        <v>362</v>
      </c>
    </row>
    <row r="22" spans="2:6" ht="17.25" customHeight="1">
      <c r="B22" s="877"/>
      <c r="C22" s="87" t="s">
        <v>281</v>
      </c>
      <c r="D22" s="88">
        <v>0.3</v>
      </c>
      <c r="E22" s="88" t="s">
        <v>334</v>
      </c>
      <c r="F22" s="76" t="s">
        <v>337</v>
      </c>
    </row>
    <row r="23" spans="2:6" ht="17.25" customHeight="1">
      <c r="B23" s="877"/>
      <c r="C23" s="87" t="s">
        <v>282</v>
      </c>
      <c r="D23" s="88">
        <v>0.23</v>
      </c>
      <c r="E23" s="88" t="s">
        <v>332</v>
      </c>
      <c r="F23" s="76" t="s">
        <v>363</v>
      </c>
    </row>
    <row r="24" spans="2:6" ht="17.25" customHeight="1">
      <c r="B24" s="877"/>
      <c r="C24" s="87" t="s">
        <v>283</v>
      </c>
      <c r="D24" s="88">
        <v>0.5</v>
      </c>
      <c r="E24" s="88" t="s">
        <v>332</v>
      </c>
      <c r="F24" s="76" t="s">
        <v>364</v>
      </c>
    </row>
    <row r="25" spans="2:6" ht="17.25" customHeight="1">
      <c r="B25" s="877" t="s">
        <v>232</v>
      </c>
      <c r="C25" s="87" t="s">
        <v>284</v>
      </c>
      <c r="D25" s="88">
        <v>0.18</v>
      </c>
      <c r="E25" s="88" t="s">
        <v>332</v>
      </c>
    </row>
    <row r="26" spans="2:6" ht="17.25" customHeight="1">
      <c r="B26" s="877"/>
      <c r="C26" s="87" t="s">
        <v>285</v>
      </c>
      <c r="D26" s="88">
        <v>0.23</v>
      </c>
      <c r="E26" s="88" t="s">
        <v>332</v>
      </c>
    </row>
    <row r="27" spans="2:6" ht="17.25" customHeight="1">
      <c r="B27" s="877"/>
      <c r="C27" s="87" t="s">
        <v>286</v>
      </c>
      <c r="D27" s="88">
        <v>0.18</v>
      </c>
      <c r="E27" s="88" t="s">
        <v>333</v>
      </c>
    </row>
    <row r="28" spans="2:6" ht="17.25" customHeight="1">
      <c r="B28" s="877"/>
      <c r="C28" s="87" t="s">
        <v>287</v>
      </c>
      <c r="D28" s="88">
        <v>0.23</v>
      </c>
      <c r="E28" s="88" t="s">
        <v>332</v>
      </c>
    </row>
    <row r="29" spans="2:6" ht="17.25" customHeight="1">
      <c r="B29" s="877"/>
      <c r="C29" s="87" t="s">
        <v>288</v>
      </c>
      <c r="D29" s="88">
        <v>0.84</v>
      </c>
      <c r="E29" s="88" t="s">
        <v>334</v>
      </c>
      <c r="F29" s="76" t="s">
        <v>344</v>
      </c>
    </row>
    <row r="30" spans="2:6" ht="17.25" customHeight="1">
      <c r="B30" s="877"/>
      <c r="C30" s="87" t="s">
        <v>289</v>
      </c>
      <c r="D30" s="88">
        <v>0.2</v>
      </c>
      <c r="E30" s="88" t="s">
        <v>333</v>
      </c>
      <c r="F30" s="76" t="s">
        <v>375</v>
      </c>
    </row>
    <row r="31" spans="2:6" ht="17.25" customHeight="1">
      <c r="B31" s="877"/>
      <c r="C31" s="87" t="s">
        <v>290</v>
      </c>
      <c r="D31" s="88">
        <v>0.35</v>
      </c>
      <c r="E31" s="88" t="s">
        <v>332</v>
      </c>
      <c r="F31" s="76" t="s">
        <v>376</v>
      </c>
    </row>
    <row r="32" spans="2:6" ht="17.25" customHeight="1">
      <c r="B32" s="877"/>
      <c r="C32" s="87" t="s">
        <v>233</v>
      </c>
      <c r="D32" s="88">
        <v>0.21</v>
      </c>
      <c r="E32" s="88" t="s">
        <v>333</v>
      </c>
      <c r="F32" s="76" t="s">
        <v>374</v>
      </c>
    </row>
    <row r="33" spans="2:6" ht="17.25" customHeight="1">
      <c r="B33" s="877"/>
      <c r="C33" s="87" t="s">
        <v>234</v>
      </c>
      <c r="D33" s="88">
        <v>0.05</v>
      </c>
      <c r="E33" s="88" t="s">
        <v>333</v>
      </c>
      <c r="F33" s="76" t="s">
        <v>374</v>
      </c>
    </row>
    <row r="34" spans="2:6" ht="17.25" customHeight="1">
      <c r="B34" s="877"/>
      <c r="C34" s="87" t="s">
        <v>291</v>
      </c>
      <c r="D34" s="88">
        <v>0.12</v>
      </c>
      <c r="E34" s="88" t="s">
        <v>341</v>
      </c>
    </row>
    <row r="35" spans="2:6" ht="17.25" customHeight="1">
      <c r="B35" s="877"/>
      <c r="C35" s="87" t="s">
        <v>292</v>
      </c>
      <c r="D35" s="88">
        <v>0.9</v>
      </c>
      <c r="E35" s="88" t="s">
        <v>342</v>
      </c>
      <c r="F35" s="76" t="s">
        <v>329</v>
      </c>
    </row>
    <row r="36" spans="2:6" ht="17.25" customHeight="1">
      <c r="B36" s="877"/>
      <c r="C36" s="87" t="s">
        <v>293</v>
      </c>
      <c r="D36" s="88">
        <v>0.45</v>
      </c>
      <c r="E36" s="88" t="s">
        <v>342</v>
      </c>
      <c r="F36" s="76" t="s">
        <v>389</v>
      </c>
    </row>
    <row r="37" spans="2:6" ht="17.25" customHeight="1">
      <c r="B37" s="877"/>
      <c r="C37" s="87" t="s">
        <v>294</v>
      </c>
      <c r="D37" s="88">
        <v>0.6</v>
      </c>
      <c r="E37" s="88" t="s">
        <v>340</v>
      </c>
      <c r="F37" s="76" t="s">
        <v>365</v>
      </c>
    </row>
    <row r="38" spans="2:6" ht="17.25" customHeight="1">
      <c r="B38" s="877"/>
      <c r="C38" s="87" t="s">
        <v>317</v>
      </c>
      <c r="D38" s="88">
        <v>0.6</v>
      </c>
      <c r="E38" s="88" t="s">
        <v>340</v>
      </c>
      <c r="F38" s="76" t="s">
        <v>366</v>
      </c>
    </row>
    <row r="39" spans="2:6" ht="17.25" customHeight="1">
      <c r="B39" s="877" t="s">
        <v>262</v>
      </c>
      <c r="C39" s="87" t="s">
        <v>256</v>
      </c>
      <c r="D39" s="88">
        <v>0.65</v>
      </c>
      <c r="E39" s="88" t="s">
        <v>341</v>
      </c>
      <c r="F39" s="76" t="s">
        <v>367</v>
      </c>
    </row>
    <row r="40" spans="2:6" ht="17.25" customHeight="1">
      <c r="B40" s="877"/>
      <c r="C40" s="87" t="s">
        <v>361</v>
      </c>
      <c r="D40" s="88">
        <v>0.65</v>
      </c>
      <c r="E40" s="88" t="s">
        <v>341</v>
      </c>
      <c r="F40" s="76" t="s">
        <v>368</v>
      </c>
    </row>
    <row r="41" spans="2:6" ht="17.25" customHeight="1">
      <c r="B41" s="877"/>
      <c r="C41" s="87" t="s">
        <v>360</v>
      </c>
      <c r="D41" s="88">
        <v>0.65</v>
      </c>
      <c r="E41" s="88" t="s">
        <v>341</v>
      </c>
      <c r="F41" s="76" t="s">
        <v>369</v>
      </c>
    </row>
    <row r="42" spans="2:6" ht="17.25" customHeight="1">
      <c r="B42" s="877"/>
      <c r="C42" s="87" t="s">
        <v>296</v>
      </c>
      <c r="D42" s="88">
        <v>0.32</v>
      </c>
      <c r="E42" s="88" t="s">
        <v>342</v>
      </c>
      <c r="F42" s="76" t="s">
        <v>330</v>
      </c>
    </row>
    <row r="43" spans="2:6" ht="17.25" customHeight="1">
      <c r="B43" s="877"/>
      <c r="C43" s="87" t="s">
        <v>261</v>
      </c>
      <c r="D43" s="88">
        <v>0.6</v>
      </c>
      <c r="E43" s="88" t="s">
        <v>342</v>
      </c>
      <c r="F43" s="76" t="s">
        <v>378</v>
      </c>
    </row>
    <row r="44" spans="2:6" ht="17.25" customHeight="1">
      <c r="B44" s="877" t="s">
        <v>238</v>
      </c>
      <c r="C44" s="87" t="s">
        <v>295</v>
      </c>
      <c r="D44" s="88">
        <v>0.5</v>
      </c>
      <c r="E44" s="88" t="s">
        <v>340</v>
      </c>
      <c r="F44" s="76" t="s">
        <v>379</v>
      </c>
    </row>
    <row r="45" spans="2:6" ht="17.25" customHeight="1">
      <c r="B45" s="877"/>
      <c r="C45" s="87" t="s">
        <v>380</v>
      </c>
      <c r="D45" s="88">
        <v>0.88</v>
      </c>
      <c r="E45" s="88" t="s">
        <v>340</v>
      </c>
      <c r="F45" s="76" t="s">
        <v>381</v>
      </c>
    </row>
    <row r="46" spans="2:6" ht="17.25" customHeight="1">
      <c r="B46" s="877"/>
      <c r="C46" s="87" t="s">
        <v>246</v>
      </c>
      <c r="D46" s="88">
        <v>0.72</v>
      </c>
      <c r="E46" s="88" t="s">
        <v>340</v>
      </c>
      <c r="F46" s="76" t="s">
        <v>243</v>
      </c>
    </row>
    <row r="47" spans="2:6" ht="17.25" customHeight="1">
      <c r="B47" s="877"/>
      <c r="C47" s="87" t="s">
        <v>315</v>
      </c>
      <c r="D47" s="88">
        <v>0.25</v>
      </c>
      <c r="E47" s="88" t="s">
        <v>340</v>
      </c>
      <c r="F47" s="76" t="s">
        <v>316</v>
      </c>
    </row>
    <row r="48" spans="2:6" ht="17.25" customHeight="1">
      <c r="B48" s="877"/>
      <c r="C48" s="87" t="s">
        <v>249</v>
      </c>
      <c r="D48" s="88">
        <v>0.86</v>
      </c>
      <c r="E48" s="88" t="s">
        <v>340</v>
      </c>
      <c r="F48" s="76" t="s">
        <v>382</v>
      </c>
    </row>
    <row r="49" spans="2:12" ht="17.25" customHeight="1">
      <c r="B49" s="877"/>
      <c r="C49" s="87" t="s">
        <v>247</v>
      </c>
      <c r="D49" s="88">
        <v>0.7</v>
      </c>
      <c r="E49" s="88" t="s">
        <v>340</v>
      </c>
      <c r="F49" s="76" t="s">
        <v>241</v>
      </c>
    </row>
    <row r="50" spans="2:12" ht="17.25" customHeight="1">
      <c r="B50" s="877"/>
      <c r="C50" s="87" t="s">
        <v>248</v>
      </c>
      <c r="D50" s="88">
        <v>0.75</v>
      </c>
      <c r="E50" s="88" t="s">
        <v>341</v>
      </c>
      <c r="F50" s="76" t="s">
        <v>242</v>
      </c>
    </row>
    <row r="51" spans="2:12" ht="17.25" customHeight="1">
      <c r="B51" s="877"/>
      <c r="C51" s="87" t="s">
        <v>250</v>
      </c>
      <c r="D51" s="88">
        <v>0.35</v>
      </c>
      <c r="E51" s="88" t="s">
        <v>341</v>
      </c>
      <c r="F51" s="76" t="s">
        <v>239</v>
      </c>
    </row>
    <row r="52" spans="2:12" ht="17.25" customHeight="1">
      <c r="B52" s="877"/>
      <c r="C52" s="87" t="s">
        <v>251</v>
      </c>
      <c r="D52" s="88">
        <v>0.8</v>
      </c>
      <c r="E52" s="88" t="s">
        <v>340</v>
      </c>
      <c r="F52" s="76" t="s">
        <v>244</v>
      </c>
    </row>
    <row r="53" spans="2:12" ht="17.25" customHeight="1">
      <c r="B53" s="877"/>
      <c r="C53" s="87" t="s">
        <v>252</v>
      </c>
      <c r="D53" s="88">
        <v>0.85</v>
      </c>
      <c r="E53" s="88" t="s">
        <v>340</v>
      </c>
      <c r="F53" s="76" t="s">
        <v>245</v>
      </c>
    </row>
    <row r="54" spans="2:12" ht="17.25" customHeight="1">
      <c r="B54" s="877"/>
      <c r="C54" s="87" t="s">
        <v>253</v>
      </c>
      <c r="D54" s="88">
        <v>0.13</v>
      </c>
      <c r="E54" s="88" t="s">
        <v>340</v>
      </c>
      <c r="F54" s="76" t="s">
        <v>240</v>
      </c>
    </row>
    <row r="55" spans="2:12" ht="17.25" customHeight="1">
      <c r="B55" s="877"/>
      <c r="C55" s="87" t="s">
        <v>257</v>
      </c>
      <c r="D55" s="88">
        <v>0.06</v>
      </c>
      <c r="E55" s="88" t="s">
        <v>341</v>
      </c>
      <c r="F55" s="76" t="s">
        <v>377</v>
      </c>
    </row>
    <row r="56" spans="2:12" ht="17.25" customHeight="1">
      <c r="B56" s="877"/>
      <c r="C56" s="87" t="s">
        <v>258</v>
      </c>
      <c r="D56" s="88">
        <v>0.05</v>
      </c>
      <c r="E56" s="88" t="s">
        <v>341</v>
      </c>
      <c r="F56" s="76" t="s">
        <v>377</v>
      </c>
    </row>
    <row r="57" spans="2:12" ht="17.25" customHeight="1">
      <c r="B57" s="877" t="s">
        <v>263</v>
      </c>
      <c r="C57" s="87" t="s">
        <v>204</v>
      </c>
      <c r="D57" s="88">
        <v>0.5</v>
      </c>
      <c r="E57" s="88" t="s">
        <v>341</v>
      </c>
      <c r="F57" s="869" t="s">
        <v>370</v>
      </c>
      <c r="G57" s="870"/>
      <c r="H57" s="870"/>
      <c r="I57" s="870"/>
      <c r="J57" s="870"/>
      <c r="K57" s="870"/>
      <c r="L57" s="79"/>
    </row>
    <row r="58" spans="2:12" ht="17.25" customHeight="1">
      <c r="B58" s="877"/>
      <c r="C58" s="87" t="s">
        <v>205</v>
      </c>
      <c r="D58" s="88">
        <v>0.3</v>
      </c>
      <c r="E58" s="88" t="s">
        <v>341</v>
      </c>
      <c r="F58" s="869"/>
      <c r="G58" s="870"/>
      <c r="H58" s="870"/>
      <c r="I58" s="870"/>
      <c r="J58" s="870"/>
      <c r="K58" s="870"/>
      <c r="L58" s="79"/>
    </row>
    <row r="59" spans="2:12" ht="17.25" customHeight="1">
      <c r="B59" s="877"/>
      <c r="C59" s="87" t="s">
        <v>224</v>
      </c>
      <c r="D59" s="88">
        <v>0.3</v>
      </c>
      <c r="E59" s="88" t="s">
        <v>341</v>
      </c>
      <c r="F59" s="869"/>
      <c r="G59" s="870"/>
      <c r="H59" s="870"/>
      <c r="I59" s="870"/>
      <c r="J59" s="870"/>
      <c r="K59" s="870"/>
      <c r="L59" s="79"/>
    </row>
    <row r="60" spans="2:12" ht="17.25" customHeight="1">
      <c r="B60" s="877"/>
      <c r="C60" s="87" t="s">
        <v>206</v>
      </c>
      <c r="D60" s="88">
        <v>0.28000000000000003</v>
      </c>
      <c r="E60" s="88" t="s">
        <v>341</v>
      </c>
      <c r="F60" s="869"/>
      <c r="G60" s="870"/>
      <c r="H60" s="870"/>
      <c r="I60" s="870"/>
      <c r="J60" s="870"/>
      <c r="K60" s="870"/>
      <c r="L60" s="79"/>
    </row>
    <row r="61" spans="2:12" ht="17.25" customHeight="1">
      <c r="B61" s="877"/>
      <c r="C61" s="87" t="s">
        <v>208</v>
      </c>
      <c r="D61" s="88">
        <v>0.26</v>
      </c>
      <c r="E61" s="88" t="s">
        <v>341</v>
      </c>
      <c r="F61" s="869"/>
      <c r="G61" s="870"/>
      <c r="H61" s="870"/>
      <c r="I61" s="870"/>
      <c r="J61" s="870"/>
      <c r="K61" s="870"/>
      <c r="L61" s="79"/>
    </row>
    <row r="62" spans="2:12" ht="17.25" customHeight="1">
      <c r="B62" s="877"/>
      <c r="C62" s="87" t="s">
        <v>207</v>
      </c>
      <c r="D62" s="88">
        <v>0.22</v>
      </c>
      <c r="E62" s="88" t="s">
        <v>341</v>
      </c>
      <c r="F62" s="869"/>
      <c r="G62" s="870"/>
      <c r="H62" s="870"/>
      <c r="I62" s="870"/>
      <c r="J62" s="870"/>
      <c r="K62" s="870"/>
      <c r="L62" s="79"/>
    </row>
    <row r="63" spans="2:12" ht="17.25" customHeight="1">
      <c r="B63" s="877"/>
      <c r="C63" s="87" t="s">
        <v>218</v>
      </c>
      <c r="D63" s="88">
        <v>0.17</v>
      </c>
      <c r="E63" s="88" t="s">
        <v>341</v>
      </c>
      <c r="F63" s="869"/>
      <c r="G63" s="870"/>
      <c r="H63" s="870"/>
      <c r="I63" s="870"/>
      <c r="J63" s="870"/>
      <c r="K63" s="870"/>
      <c r="L63" s="79"/>
    </row>
    <row r="64" spans="2:12" ht="17.25" customHeight="1">
      <c r="B64" s="877"/>
      <c r="C64" s="87" t="s">
        <v>222</v>
      </c>
      <c r="D64" s="88">
        <v>0.17</v>
      </c>
      <c r="E64" s="88" t="s">
        <v>341</v>
      </c>
      <c r="F64" s="869"/>
      <c r="G64" s="870"/>
      <c r="H64" s="870"/>
      <c r="I64" s="870"/>
      <c r="J64" s="870"/>
      <c r="K64" s="870"/>
      <c r="L64" s="79"/>
    </row>
    <row r="65" spans="2:12" ht="17.25" customHeight="1">
      <c r="B65" s="877"/>
      <c r="C65" s="87" t="s">
        <v>223</v>
      </c>
      <c r="D65" s="88">
        <v>0.17</v>
      </c>
      <c r="E65" s="88" t="s">
        <v>341</v>
      </c>
      <c r="F65" s="869"/>
      <c r="G65" s="870"/>
      <c r="H65" s="870"/>
      <c r="I65" s="870"/>
      <c r="J65" s="870"/>
      <c r="K65" s="870"/>
      <c r="L65" s="79"/>
    </row>
    <row r="66" spans="2:12" ht="17.25" customHeight="1">
      <c r="B66" s="877"/>
      <c r="C66" s="87" t="s">
        <v>226</v>
      </c>
      <c r="D66" s="88">
        <v>0.15</v>
      </c>
      <c r="E66" s="88" t="s">
        <v>341</v>
      </c>
      <c r="F66" s="869"/>
      <c r="G66" s="870"/>
      <c r="H66" s="870"/>
      <c r="I66" s="870"/>
      <c r="J66" s="870"/>
      <c r="K66" s="870"/>
      <c r="L66" s="79"/>
    </row>
    <row r="67" spans="2:12" ht="17.25" customHeight="1">
      <c r="B67" s="877"/>
      <c r="C67" s="87" t="s">
        <v>209</v>
      </c>
      <c r="D67" s="88">
        <v>0.13</v>
      </c>
      <c r="E67" s="88" t="s">
        <v>342</v>
      </c>
      <c r="F67" s="869"/>
      <c r="G67" s="870"/>
      <c r="H67" s="870"/>
      <c r="I67" s="870"/>
      <c r="J67" s="870"/>
      <c r="K67" s="870"/>
      <c r="L67" s="79"/>
    </row>
    <row r="68" spans="2:12" ht="17.25" customHeight="1">
      <c r="B68" s="877"/>
      <c r="C68" s="87" t="s">
        <v>229</v>
      </c>
      <c r="D68" s="88">
        <v>0.13</v>
      </c>
      <c r="E68" s="88" t="s">
        <v>342</v>
      </c>
      <c r="F68" s="869"/>
      <c r="G68" s="870"/>
      <c r="H68" s="870"/>
      <c r="I68" s="870"/>
      <c r="J68" s="870"/>
      <c r="K68" s="870"/>
      <c r="L68" s="79"/>
    </row>
    <row r="69" spans="2:12" ht="17.25" customHeight="1">
      <c r="B69" s="877"/>
      <c r="C69" s="87" t="s">
        <v>254</v>
      </c>
      <c r="D69" s="88">
        <v>0.13</v>
      </c>
      <c r="E69" s="88" t="s">
        <v>342</v>
      </c>
      <c r="F69" s="869"/>
      <c r="G69" s="870"/>
      <c r="H69" s="870"/>
      <c r="I69" s="870"/>
      <c r="J69" s="870"/>
      <c r="K69" s="870"/>
      <c r="L69" s="79"/>
    </row>
    <row r="70" spans="2:12" ht="17.25" customHeight="1">
      <c r="B70" s="877"/>
      <c r="C70" s="87" t="s">
        <v>211</v>
      </c>
      <c r="D70" s="88">
        <v>0.13</v>
      </c>
      <c r="E70" s="88" t="s">
        <v>341</v>
      </c>
      <c r="F70" s="869"/>
      <c r="G70" s="870"/>
      <c r="H70" s="870"/>
      <c r="I70" s="870"/>
      <c r="J70" s="870"/>
      <c r="K70" s="870"/>
      <c r="L70" s="79"/>
    </row>
    <row r="71" spans="2:12" ht="17.25" customHeight="1">
      <c r="B71" s="877"/>
      <c r="C71" s="87" t="s">
        <v>214</v>
      </c>
      <c r="D71" s="88">
        <v>0.13</v>
      </c>
      <c r="E71" s="88" t="s">
        <v>341</v>
      </c>
      <c r="F71" s="869"/>
      <c r="G71" s="870"/>
      <c r="H71" s="870"/>
      <c r="I71" s="870"/>
      <c r="J71" s="870"/>
      <c r="K71" s="870"/>
      <c r="L71" s="79"/>
    </row>
    <row r="72" spans="2:12" ht="17.25" customHeight="1">
      <c r="B72" s="877"/>
      <c r="C72" s="87" t="s">
        <v>225</v>
      </c>
      <c r="D72" s="88">
        <v>0.13</v>
      </c>
      <c r="E72" s="88" t="s">
        <v>342</v>
      </c>
      <c r="F72" s="869"/>
      <c r="G72" s="870"/>
      <c r="H72" s="870"/>
      <c r="I72" s="870"/>
      <c r="J72" s="870"/>
      <c r="K72" s="870"/>
      <c r="L72" s="79"/>
    </row>
    <row r="73" spans="2:12" ht="17.25" customHeight="1">
      <c r="B73" s="877"/>
      <c r="C73" s="87" t="s">
        <v>210</v>
      </c>
      <c r="D73" s="88">
        <v>0.12</v>
      </c>
      <c r="E73" s="88" t="s">
        <v>342</v>
      </c>
      <c r="F73" s="869"/>
      <c r="G73" s="870"/>
      <c r="H73" s="870"/>
      <c r="I73" s="870"/>
      <c r="J73" s="870"/>
      <c r="K73" s="870"/>
      <c r="L73" s="79"/>
    </row>
    <row r="74" spans="2:12" ht="17.25" customHeight="1">
      <c r="B74" s="877"/>
      <c r="C74" s="87" t="s">
        <v>219</v>
      </c>
      <c r="D74" s="88">
        <v>0.12</v>
      </c>
      <c r="E74" s="88" t="s">
        <v>342</v>
      </c>
      <c r="F74" s="869"/>
      <c r="G74" s="870"/>
      <c r="H74" s="870"/>
      <c r="I74" s="870"/>
      <c r="J74" s="870"/>
      <c r="K74" s="870"/>
      <c r="L74" s="79"/>
    </row>
    <row r="75" spans="2:12" ht="17.25" customHeight="1">
      <c r="B75" s="877"/>
      <c r="C75" s="87" t="s">
        <v>212</v>
      </c>
      <c r="D75" s="88">
        <v>0.11</v>
      </c>
      <c r="E75" s="88" t="s">
        <v>342</v>
      </c>
      <c r="F75" s="869"/>
      <c r="G75" s="870"/>
      <c r="H75" s="870"/>
      <c r="I75" s="870"/>
      <c r="J75" s="870"/>
      <c r="K75" s="870"/>
      <c r="L75" s="79"/>
    </row>
    <row r="76" spans="2:12" ht="17.25" customHeight="1">
      <c r="B76" s="877"/>
      <c r="C76" s="87" t="s">
        <v>230</v>
      </c>
      <c r="D76" s="88">
        <v>0.1</v>
      </c>
      <c r="E76" s="88" t="s">
        <v>342</v>
      </c>
      <c r="F76" s="869"/>
      <c r="G76" s="870"/>
      <c r="H76" s="870"/>
      <c r="I76" s="870"/>
      <c r="J76" s="870"/>
      <c r="K76" s="870"/>
      <c r="L76" s="79"/>
    </row>
    <row r="77" spans="2:12" ht="17.25" customHeight="1">
      <c r="B77" s="877"/>
      <c r="C77" s="87" t="s">
        <v>213</v>
      </c>
      <c r="D77" s="88">
        <v>0.1</v>
      </c>
      <c r="E77" s="88" t="s">
        <v>342</v>
      </c>
      <c r="F77" s="869"/>
      <c r="G77" s="870"/>
      <c r="H77" s="870"/>
      <c r="I77" s="870"/>
      <c r="J77" s="870"/>
      <c r="K77" s="870"/>
      <c r="L77" s="79"/>
    </row>
    <row r="78" spans="2:12" ht="17.25" customHeight="1">
      <c r="B78" s="877"/>
      <c r="C78" s="87" t="s">
        <v>345</v>
      </c>
      <c r="D78" s="88">
        <v>0.1</v>
      </c>
      <c r="E78" s="88" t="s">
        <v>342</v>
      </c>
      <c r="F78" s="869"/>
      <c r="G78" s="870"/>
      <c r="H78" s="870"/>
      <c r="I78" s="870"/>
      <c r="J78" s="870"/>
      <c r="K78" s="870"/>
      <c r="L78" s="79"/>
    </row>
    <row r="79" spans="2:12" ht="17.25" customHeight="1">
      <c r="B79" s="877"/>
      <c r="C79" s="87" t="s">
        <v>228</v>
      </c>
      <c r="D79" s="88">
        <v>0.1</v>
      </c>
      <c r="E79" s="88" t="s">
        <v>342</v>
      </c>
      <c r="F79" s="869"/>
      <c r="G79" s="870"/>
      <c r="H79" s="870"/>
      <c r="I79" s="870"/>
      <c r="J79" s="870"/>
      <c r="K79" s="870"/>
      <c r="L79" s="79"/>
    </row>
    <row r="80" spans="2:12" ht="17.25" customHeight="1">
      <c r="B80" s="877"/>
      <c r="C80" s="87" t="s">
        <v>221</v>
      </c>
      <c r="D80" s="88">
        <v>0.09</v>
      </c>
      <c r="E80" s="88" t="s">
        <v>342</v>
      </c>
      <c r="F80" s="869"/>
      <c r="G80" s="870"/>
      <c r="H80" s="870"/>
      <c r="I80" s="870"/>
      <c r="J80" s="870"/>
      <c r="K80" s="870"/>
      <c r="L80" s="79"/>
    </row>
    <row r="81" spans="2:12" ht="17.25" customHeight="1">
      <c r="B81" s="877"/>
      <c r="C81" s="87" t="s">
        <v>215</v>
      </c>
      <c r="D81" s="88">
        <v>0.09</v>
      </c>
      <c r="E81" s="88" t="s">
        <v>342</v>
      </c>
      <c r="F81" s="869"/>
      <c r="G81" s="870"/>
      <c r="H81" s="870"/>
      <c r="I81" s="870"/>
      <c r="J81" s="870"/>
      <c r="K81" s="870"/>
      <c r="L81" s="79"/>
    </row>
    <row r="82" spans="2:12" ht="17.25" customHeight="1">
      <c r="B82" s="877"/>
      <c r="C82" s="87" t="s">
        <v>227</v>
      </c>
      <c r="D82" s="88">
        <v>0.09</v>
      </c>
      <c r="E82" s="88" t="s">
        <v>342</v>
      </c>
      <c r="F82" s="869"/>
      <c r="G82" s="870"/>
      <c r="H82" s="870"/>
      <c r="I82" s="870"/>
      <c r="J82" s="870"/>
      <c r="K82" s="870"/>
      <c r="L82" s="79"/>
    </row>
    <row r="83" spans="2:12" ht="17.25" customHeight="1">
      <c r="B83" s="877"/>
      <c r="C83" s="87" t="s">
        <v>217</v>
      </c>
      <c r="D83" s="88">
        <v>0.08</v>
      </c>
      <c r="E83" s="88" t="s">
        <v>340</v>
      </c>
      <c r="F83" s="869"/>
      <c r="G83" s="870"/>
      <c r="H83" s="870"/>
      <c r="I83" s="870"/>
      <c r="J83" s="870"/>
      <c r="K83" s="870"/>
      <c r="L83" s="79"/>
    </row>
    <row r="84" spans="2:12" ht="17.25" customHeight="1">
      <c r="B84" s="877"/>
      <c r="C84" s="87" t="s">
        <v>216</v>
      </c>
      <c r="D84" s="88">
        <v>7.0000000000000007E-2</v>
      </c>
      <c r="E84" s="88" t="s">
        <v>340</v>
      </c>
      <c r="F84" s="869"/>
      <c r="G84" s="870"/>
      <c r="H84" s="870"/>
      <c r="I84" s="870"/>
      <c r="J84" s="870"/>
      <c r="K84" s="870"/>
      <c r="L84" s="79"/>
    </row>
    <row r="85" spans="2:12" ht="17.25" customHeight="1">
      <c r="B85" s="877"/>
      <c r="C85" s="87" t="s">
        <v>220</v>
      </c>
      <c r="D85" s="88">
        <v>7.0000000000000007E-2</v>
      </c>
      <c r="E85" s="88" t="s">
        <v>341</v>
      </c>
      <c r="F85" s="869"/>
      <c r="G85" s="870"/>
      <c r="H85" s="870"/>
      <c r="I85" s="870"/>
      <c r="J85" s="870"/>
      <c r="K85" s="870"/>
      <c r="L85" s="79"/>
    </row>
    <row r="86" spans="2:12" ht="17.25" customHeight="1">
      <c r="B86" s="877"/>
      <c r="C86" s="87" t="s">
        <v>231</v>
      </c>
      <c r="D86" s="88">
        <v>0.06</v>
      </c>
      <c r="E86" s="88" t="s">
        <v>342</v>
      </c>
      <c r="F86" s="869"/>
      <c r="G86" s="870"/>
      <c r="H86" s="870"/>
      <c r="I86" s="870"/>
      <c r="J86" s="870"/>
      <c r="K86" s="870"/>
      <c r="L86" s="79"/>
    </row>
    <row r="87" spans="2:12" ht="17.25" customHeight="1">
      <c r="B87" s="877"/>
      <c r="C87" s="87" t="s">
        <v>346</v>
      </c>
      <c r="D87" s="88">
        <v>0.03</v>
      </c>
      <c r="E87" s="88" t="s">
        <v>342</v>
      </c>
      <c r="F87" s="869"/>
      <c r="G87" s="870"/>
      <c r="H87" s="870"/>
      <c r="I87" s="870"/>
      <c r="J87" s="870"/>
      <c r="K87" s="870"/>
      <c r="L87" s="79"/>
    </row>
    <row r="88" spans="2:12" ht="17.25" customHeight="1">
      <c r="B88" s="7"/>
      <c r="F88" s="5"/>
      <c r="G88" s="74"/>
      <c r="H88" s="74"/>
      <c r="I88" s="74"/>
      <c r="J88" s="74"/>
      <c r="K88" s="74"/>
      <c r="L88" s="74"/>
    </row>
    <row r="89" spans="2:12" ht="17.25" customHeight="1">
      <c r="B89" s="860" t="s">
        <v>348</v>
      </c>
      <c r="C89" s="860"/>
      <c r="D89" s="860"/>
      <c r="E89" s="860"/>
      <c r="F89" s="5"/>
      <c r="G89" s="74"/>
      <c r="H89" s="74"/>
      <c r="I89" s="74"/>
      <c r="J89" s="74"/>
      <c r="K89" s="74"/>
      <c r="L89" s="74"/>
    </row>
    <row r="90" spans="2:12" ht="17.25" customHeight="1">
      <c r="B90" s="860"/>
      <c r="C90" s="860"/>
      <c r="D90" s="860"/>
      <c r="E90" s="860"/>
      <c r="F90" s="5"/>
      <c r="G90" s="74"/>
      <c r="H90" s="74"/>
      <c r="I90" s="74"/>
      <c r="J90" s="74"/>
      <c r="K90" s="74"/>
      <c r="L90" s="74"/>
    </row>
    <row r="91" spans="2:12" ht="17.25" customHeight="1">
      <c r="B91" s="80" t="s">
        <v>349</v>
      </c>
      <c r="C91" s="80" t="s">
        <v>351</v>
      </c>
      <c r="D91" s="81" t="s">
        <v>313</v>
      </c>
      <c r="E91" s="81" t="s">
        <v>353</v>
      </c>
      <c r="F91" s="75" t="s">
        <v>352</v>
      </c>
      <c r="G91" s="74"/>
      <c r="H91" s="74"/>
      <c r="I91" s="74"/>
      <c r="J91" s="74"/>
      <c r="K91" s="74"/>
      <c r="L91" s="74"/>
    </row>
    <row r="92" spans="2:12" ht="17.25" customHeight="1">
      <c r="B92" s="879" t="s">
        <v>319</v>
      </c>
      <c r="C92" s="82" t="s">
        <v>323</v>
      </c>
      <c r="D92" s="83">
        <v>0.15</v>
      </c>
      <c r="E92" s="871" t="s">
        <v>354</v>
      </c>
      <c r="F92" s="76" t="s">
        <v>299</v>
      </c>
      <c r="G92" s="74"/>
      <c r="H92" s="74"/>
      <c r="I92" s="74"/>
      <c r="J92" s="74"/>
      <c r="K92" s="74"/>
      <c r="L92" s="74"/>
    </row>
    <row r="93" spans="2:12" ht="17.25" customHeight="1">
      <c r="B93" s="879"/>
      <c r="C93" s="82" t="s">
        <v>298</v>
      </c>
      <c r="D93" s="83">
        <v>0.2</v>
      </c>
      <c r="E93" s="872"/>
      <c r="F93" s="76" t="s">
        <v>300</v>
      </c>
      <c r="G93" s="74"/>
      <c r="H93" s="74"/>
      <c r="I93" s="74"/>
      <c r="J93" s="74"/>
      <c r="K93" s="74"/>
      <c r="L93" s="74"/>
    </row>
    <row r="94" spans="2:12" ht="17.25" customHeight="1">
      <c r="B94" s="879"/>
      <c r="C94" s="82" t="s">
        <v>324</v>
      </c>
      <c r="D94" s="83">
        <v>0.2</v>
      </c>
      <c r="E94" s="872"/>
      <c r="F94" s="76" t="s">
        <v>301</v>
      </c>
    </row>
    <row r="95" spans="2:12" ht="17.25" customHeight="1">
      <c r="B95" s="879"/>
      <c r="C95" s="82" t="s">
        <v>325</v>
      </c>
      <c r="D95" s="83">
        <v>0.25</v>
      </c>
      <c r="E95" s="872"/>
      <c r="F95" s="76" t="s">
        <v>385</v>
      </c>
    </row>
    <row r="96" spans="2:12" ht="17.25" customHeight="1">
      <c r="B96" s="879"/>
      <c r="C96" s="82" t="s">
        <v>303</v>
      </c>
      <c r="D96" s="83">
        <v>0.3</v>
      </c>
      <c r="E96" s="872"/>
      <c r="F96" s="76" t="s">
        <v>302</v>
      </c>
    </row>
    <row r="97" spans="2:6" ht="17.25" customHeight="1">
      <c r="B97" s="879"/>
      <c r="C97" s="82" t="s">
        <v>322</v>
      </c>
      <c r="D97" s="83">
        <v>0.4</v>
      </c>
      <c r="E97" s="872"/>
      <c r="F97" s="76" t="s">
        <v>388</v>
      </c>
    </row>
    <row r="98" spans="2:6" ht="17.25" customHeight="1">
      <c r="B98" s="879"/>
      <c r="C98" s="82" t="s">
        <v>297</v>
      </c>
      <c r="D98" s="83">
        <v>0.75</v>
      </c>
      <c r="E98" s="872"/>
    </row>
    <row r="99" spans="2:6" ht="17.25" customHeight="1">
      <c r="B99" s="879"/>
      <c r="C99" s="862" t="s">
        <v>393</v>
      </c>
      <c r="D99" s="863"/>
      <c r="E99" s="872"/>
    </row>
    <row r="100" spans="2:6" ht="17.25" customHeight="1">
      <c r="B100" s="879"/>
      <c r="C100" s="864"/>
      <c r="D100" s="865"/>
      <c r="E100" s="872"/>
    </row>
    <row r="101" spans="2:6" ht="17.25" customHeight="1">
      <c r="B101" s="879"/>
      <c r="C101" s="864" t="s">
        <v>392</v>
      </c>
      <c r="D101" s="865"/>
      <c r="E101" s="872"/>
    </row>
    <row r="102" spans="2:6" ht="17.25" customHeight="1">
      <c r="B102" s="879"/>
      <c r="C102" s="864"/>
      <c r="D102" s="865"/>
      <c r="E102" s="872"/>
    </row>
    <row r="103" spans="2:6" ht="17.25" customHeight="1">
      <c r="B103" s="879"/>
      <c r="C103" s="866"/>
      <c r="D103" s="867"/>
      <c r="E103" s="873"/>
      <c r="F103" s="76" t="s">
        <v>310</v>
      </c>
    </row>
    <row r="104" spans="2:6" ht="17.25" customHeight="1">
      <c r="B104" s="878" t="s">
        <v>343</v>
      </c>
      <c r="C104" s="82" t="s">
        <v>304</v>
      </c>
      <c r="D104" s="84" t="s">
        <v>318</v>
      </c>
      <c r="E104" s="874" t="s">
        <v>355</v>
      </c>
      <c r="F104" s="76" t="s">
        <v>305</v>
      </c>
    </row>
    <row r="105" spans="2:6" ht="17.25" customHeight="1">
      <c r="B105" s="878"/>
      <c r="C105" s="82" t="s">
        <v>306</v>
      </c>
      <c r="D105" s="84" t="s">
        <v>356</v>
      </c>
      <c r="E105" s="875"/>
      <c r="F105" s="76" t="s">
        <v>307</v>
      </c>
    </row>
    <row r="106" spans="2:6" ht="17.25" customHeight="1">
      <c r="B106" s="878"/>
      <c r="C106" s="82" t="s">
        <v>314</v>
      </c>
      <c r="D106" s="84" t="s">
        <v>358</v>
      </c>
      <c r="E106" s="876"/>
      <c r="F106" s="76" t="s">
        <v>386</v>
      </c>
    </row>
    <row r="107" spans="2:6" ht="17.25" customHeight="1">
      <c r="B107" s="878"/>
      <c r="C107" s="82" t="s">
        <v>371</v>
      </c>
      <c r="D107" s="83">
        <v>0.35</v>
      </c>
      <c r="E107" s="871" t="s">
        <v>357</v>
      </c>
      <c r="F107" s="76" t="s">
        <v>383</v>
      </c>
    </row>
    <row r="108" spans="2:6" ht="17.25" customHeight="1">
      <c r="B108" s="878"/>
      <c r="C108" s="82" t="s">
        <v>372</v>
      </c>
      <c r="D108" s="83">
        <v>0.13</v>
      </c>
      <c r="E108" s="872"/>
      <c r="F108" s="76" t="s">
        <v>384</v>
      </c>
    </row>
    <row r="109" spans="2:6" ht="17.25" customHeight="1">
      <c r="B109" s="878"/>
      <c r="C109" s="82" t="s">
        <v>321</v>
      </c>
      <c r="D109" s="83">
        <v>0.35</v>
      </c>
      <c r="E109" s="872"/>
      <c r="F109" s="76" t="s">
        <v>320</v>
      </c>
    </row>
    <row r="110" spans="2:6" ht="17.25" customHeight="1">
      <c r="B110" s="878"/>
      <c r="C110" s="82" t="s">
        <v>308</v>
      </c>
      <c r="D110" s="83">
        <v>7.0000000000000007E-2</v>
      </c>
      <c r="E110" s="873"/>
      <c r="F110" s="76" t="s">
        <v>312</v>
      </c>
    </row>
    <row r="111" spans="2:6" ht="17.25" customHeight="1">
      <c r="B111" s="878"/>
      <c r="C111" s="82" t="s">
        <v>309</v>
      </c>
      <c r="D111" s="83">
        <v>0.03</v>
      </c>
      <c r="E111" s="83" t="s">
        <v>311</v>
      </c>
      <c r="F111" s="76" t="s">
        <v>387</v>
      </c>
    </row>
    <row r="113" spans="2:5" ht="17.25" customHeight="1">
      <c r="B113" s="861" t="s">
        <v>390</v>
      </c>
      <c r="C113" s="861"/>
      <c r="D113" s="861"/>
      <c r="E113" s="861"/>
    </row>
    <row r="114" spans="2:5" ht="17.25" customHeight="1">
      <c r="B114" s="861"/>
      <c r="C114" s="861"/>
      <c r="D114" s="861"/>
      <c r="E114" s="861"/>
    </row>
    <row r="115" spans="2:5" ht="17.25" customHeight="1">
      <c r="B115" s="868" t="s">
        <v>395</v>
      </c>
      <c r="C115" s="857" t="s">
        <v>400</v>
      </c>
      <c r="D115" s="857"/>
      <c r="E115" s="857"/>
    </row>
    <row r="116" spans="2:5" ht="17.25" customHeight="1">
      <c r="B116" s="868"/>
      <c r="C116" s="857"/>
      <c r="D116" s="857"/>
      <c r="E116" s="857"/>
    </row>
    <row r="117" spans="2:5" ht="17.25" customHeight="1">
      <c r="B117" s="858" t="s">
        <v>396</v>
      </c>
      <c r="C117" s="857" t="s">
        <v>401</v>
      </c>
      <c r="D117" s="857"/>
      <c r="E117" s="857"/>
    </row>
    <row r="118" spans="2:5" ht="17.25" customHeight="1">
      <c r="B118" s="868"/>
      <c r="C118" s="857"/>
      <c r="D118" s="857"/>
      <c r="E118" s="857"/>
    </row>
    <row r="119" spans="2:5" ht="17.25" customHeight="1">
      <c r="B119" s="868"/>
      <c r="C119" s="857"/>
      <c r="D119" s="857"/>
      <c r="E119" s="857"/>
    </row>
    <row r="120" spans="2:5" ht="17.25" customHeight="1">
      <c r="B120" s="868"/>
      <c r="C120" s="857"/>
      <c r="D120" s="857"/>
      <c r="E120" s="857"/>
    </row>
    <row r="121" spans="2:5" ht="17.25" customHeight="1">
      <c r="B121" s="868"/>
      <c r="C121" s="857"/>
      <c r="D121" s="857"/>
      <c r="E121" s="857"/>
    </row>
    <row r="122" spans="2:5" ht="17.25" customHeight="1">
      <c r="B122" s="858" t="s">
        <v>397</v>
      </c>
      <c r="C122" s="857" t="s">
        <v>394</v>
      </c>
      <c r="D122" s="857"/>
      <c r="E122" s="857"/>
    </row>
    <row r="123" spans="2:5" ht="17.25" customHeight="1">
      <c r="B123" s="868"/>
      <c r="C123" s="857"/>
      <c r="D123" s="857"/>
      <c r="E123" s="857"/>
    </row>
    <row r="124" spans="2:5" ht="17.25" customHeight="1">
      <c r="B124" s="868"/>
      <c r="C124" s="857"/>
      <c r="D124" s="857"/>
      <c r="E124" s="857"/>
    </row>
    <row r="125" spans="2:5" ht="17.25" customHeight="1">
      <c r="B125" s="868"/>
      <c r="C125" s="857"/>
      <c r="D125" s="857"/>
      <c r="E125" s="857"/>
    </row>
    <row r="126" spans="2:5" ht="17.25" customHeight="1">
      <c r="B126" s="868"/>
      <c r="C126" s="857"/>
      <c r="D126" s="857"/>
      <c r="E126" s="857"/>
    </row>
    <row r="127" spans="2:5" ht="17.25" customHeight="1">
      <c r="B127" s="858" t="s">
        <v>398</v>
      </c>
      <c r="C127" s="857" t="s">
        <v>399</v>
      </c>
      <c r="D127" s="857"/>
      <c r="E127" s="857"/>
    </row>
    <row r="128" spans="2:5" ht="17.25" customHeight="1">
      <c r="B128" s="858"/>
      <c r="C128" s="857"/>
      <c r="D128" s="857"/>
      <c r="E128" s="857"/>
    </row>
    <row r="129" spans="2:5" ht="17.25" customHeight="1">
      <c r="B129" s="858"/>
      <c r="C129" s="857"/>
      <c r="D129" s="857"/>
      <c r="E129" s="857"/>
    </row>
  </sheetData>
  <mergeCells count="25">
    <mergeCell ref="F57:K87"/>
    <mergeCell ref="E92:E103"/>
    <mergeCell ref="E104:E106"/>
    <mergeCell ref="B57:B87"/>
    <mergeCell ref="B5:B14"/>
    <mergeCell ref="B15:B24"/>
    <mergeCell ref="B25:B38"/>
    <mergeCell ref="B39:B43"/>
    <mergeCell ref="B44:B56"/>
    <mergeCell ref="B104:B111"/>
    <mergeCell ref="B92:B103"/>
    <mergeCell ref="E107:E110"/>
    <mergeCell ref="C127:E129"/>
    <mergeCell ref="B127:B129"/>
    <mergeCell ref="B2:E3"/>
    <mergeCell ref="B89:E90"/>
    <mergeCell ref="B113:E114"/>
    <mergeCell ref="C99:D100"/>
    <mergeCell ref="C101:D103"/>
    <mergeCell ref="C117:E121"/>
    <mergeCell ref="B117:B121"/>
    <mergeCell ref="C122:E126"/>
    <mergeCell ref="B122:B126"/>
    <mergeCell ref="C115:E116"/>
    <mergeCell ref="B115:B1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碳蛋配比-男性力训</vt:lpstr>
      <vt:lpstr>碳蛋配比-男性休息</vt:lpstr>
      <vt:lpstr>碳蛋配比-女性力训</vt:lpstr>
      <vt:lpstr>碳蛋配比-女性休息</vt:lpstr>
      <vt:lpstr>减脂-晚饭前练</vt:lpstr>
      <vt:lpstr>减脂-晚饭后练</vt:lpstr>
      <vt:lpstr>减脂-夜里练</vt:lpstr>
      <vt:lpstr>减脂-早饭后练（晚起版）</vt:lpstr>
      <vt:lpstr>减脂-午饭前练</vt:lpstr>
      <vt:lpstr>减脂-午饭后练</vt:lpstr>
      <vt:lpstr>减脂-早饭后练（早起版）</vt:lpstr>
      <vt:lpstr>有氧热量消耗</vt:lpstr>
      <vt:lpstr>日常食物营养率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B站好人松松</dc:creator>
  <cp:lastModifiedBy>Gan, Zihui</cp:lastModifiedBy>
  <dcterms:created xsi:type="dcterms:W3CDTF">2015-06-05T18:19:34Z</dcterms:created>
  <dcterms:modified xsi:type="dcterms:W3CDTF">2025-11-18T02:50:05Z</dcterms:modified>
</cp:coreProperties>
</file>